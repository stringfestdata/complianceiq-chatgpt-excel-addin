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VsActual" sheetId="1" state="visible" r:id="rId3"/>
  </sheets>
  <definedNames>
    <definedName function="false" hidden="true" localSheetId="0" name="_xlnm._FilterDatabase" vbProcedure="false">BudgetVsActual!$A$1:$G$1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<sst xmlns="http://schemas.openxmlformats.org/spreadsheetml/2006/main" count="142" uniqueCount="26">
  <si>
    <t xml:space="preserve">Department</t>
  </si>
  <si>
    <t xml:space="preserve">Account</t>
  </si>
  <si>
    <t xml:space="preserve">Month</t>
  </si>
  <si>
    <t xml:space="preserve">Budget</t>
  </si>
  <si>
    <t xml:space="preserve">Actual</t>
  </si>
  <si>
    <t xml:space="preserve">Variance</t>
  </si>
  <si>
    <t xml:space="preserve">Variance %</t>
  </si>
  <si>
    <t xml:space="preserve">Sales</t>
  </si>
  <si>
    <t xml:space="preserve">Salaries</t>
  </si>
  <si>
    <t xml:space="preserve">2026-01</t>
  </si>
  <si>
    <t xml:space="preserve">2026-02</t>
  </si>
  <si>
    <t xml:space="preserve">2026-03</t>
  </si>
  <si>
    <t xml:space="preserve">Travel</t>
  </si>
  <si>
    <t xml:space="preserve">Commissions</t>
  </si>
  <si>
    <t xml:space="preserve">Software</t>
  </si>
  <si>
    <t xml:space="preserve">Marketing</t>
  </si>
  <si>
    <t xml:space="preserve">Operations</t>
  </si>
  <si>
    <t xml:space="preserve">Materials</t>
  </si>
  <si>
    <t xml:space="preserve">Logistics</t>
  </si>
  <si>
    <t xml:space="preserve">Maintenance</t>
  </si>
  <si>
    <t xml:space="preserve">Utilities</t>
  </si>
  <si>
    <t xml:space="preserve">G&amp;A</t>
  </si>
  <si>
    <t xml:space="preserve">Professional Fees</t>
  </si>
  <si>
    <t xml:space="preserve">Rent</t>
  </si>
  <si>
    <t xml:space="preserve">Insurance</t>
  </si>
  <si>
    <t xml:space="preserve">Office Supplies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</si>
</sst>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6" min="3" style="0" width="10"/>
    <col collapsed="false" customWidth="true" hidden="false" outlineLevel="0" max="7" min="7" style="0" width="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185000</v>
      </c>
      <c r="E2" s="3" t="n">
        <v>188535</v>
      </c>
      <c r="F2" s="3" t="n">
        <f aca="false">E2-D2</f>
        <v>3535</v>
      </c>
      <c r="G2" s="4" t="n">
        <f aca="false">IFERROR((E2-D2)/D2,0)</f>
        <v>0.0191081081081081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10</v>
      </c>
      <c r="D3" s="3" t="n">
        <v>185000</v>
      </c>
      <c r="E3" s="3" t="n">
        <v>187788</v>
      </c>
      <c r="F3" s="3" t="n">
        <f aca="false">E3-D3</f>
        <v>2788</v>
      </c>
      <c r="G3" s="4" t="n">
        <f aca="false">IFERROR((E3-D3)/D3,0)</f>
        <v>0.0150702702702703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11</v>
      </c>
      <c r="D4" s="3" t="n">
        <v>185000</v>
      </c>
      <c r="E4" s="3" t="n">
        <v>188787</v>
      </c>
      <c r="F4" s="3" t="n">
        <f aca="false">E4-D4</f>
        <v>3787</v>
      </c>
      <c r="G4" s="4" t="n">
        <f aca="false">IFERROR((E4-D4)/D4,0)</f>
        <v>0.0204702702702703</v>
      </c>
    </row>
    <row r="5" customFormat="false" ht="15" hidden="false" customHeight="false" outlineLevel="0" collapsed="false">
      <c r="A5" s="2" t="s">
        <v>7</v>
      </c>
      <c r="B5" s="2" t="s">
        <v>12</v>
      </c>
      <c r="C5" s="2" t="s">
        <v>9</v>
      </c>
      <c r="D5" s="3" t="n">
        <v>22000</v>
      </c>
      <c r="E5" s="3" t="n">
        <v>28560</v>
      </c>
      <c r="F5" s="3" t="n">
        <f aca="false">E5-D5</f>
        <v>6560</v>
      </c>
      <c r="G5" s="4" t="n">
        <f aca="false">IFERROR((E5-D5)/D5,0)</f>
        <v>0.298181818181818</v>
      </c>
    </row>
    <row r="6" customFormat="false" ht="15" hidden="false" customHeight="false" outlineLevel="0" collapsed="false">
      <c r="A6" s="2" t="s">
        <v>7</v>
      </c>
      <c r="B6" s="2" t="s">
        <v>12</v>
      </c>
      <c r="C6" s="2" t="s">
        <v>10</v>
      </c>
      <c r="D6" s="3" t="n">
        <v>22000</v>
      </c>
      <c r="E6" s="3" t="n">
        <v>30460</v>
      </c>
      <c r="F6" s="3" t="n">
        <f aca="false">E6-D6</f>
        <v>8460</v>
      </c>
      <c r="G6" s="4" t="n">
        <f aca="false">IFERROR((E6-D6)/D6,0)</f>
        <v>0.384545454545455</v>
      </c>
    </row>
    <row r="7" customFormat="false" ht="15" hidden="false" customHeight="false" outlineLevel="0" collapsed="false">
      <c r="A7" s="2" t="s">
        <v>7</v>
      </c>
      <c r="B7" s="2" t="s">
        <v>12</v>
      </c>
      <c r="C7" s="2" t="s">
        <v>11</v>
      </c>
      <c r="D7" s="3" t="n">
        <v>22000</v>
      </c>
      <c r="E7" s="3" t="n">
        <v>33127</v>
      </c>
      <c r="F7" s="3" t="n">
        <f aca="false">E7-D7</f>
        <v>11127</v>
      </c>
      <c r="G7" s="4" t="n">
        <f aca="false">IFERROR((E7-D7)/D7,0)</f>
        <v>0.505772727272727</v>
      </c>
    </row>
    <row r="8" customFormat="false" ht="15" hidden="false" customHeight="false" outlineLevel="0" collapsed="false">
      <c r="A8" s="2" t="s">
        <v>7</v>
      </c>
      <c r="B8" s="2" t="s">
        <v>13</v>
      </c>
      <c r="C8" s="2" t="s">
        <v>9</v>
      </c>
      <c r="D8" s="3" t="n">
        <v>48000</v>
      </c>
      <c r="E8" s="3" t="n">
        <v>51046</v>
      </c>
      <c r="F8" s="3" t="n">
        <f aca="false">E8-D8</f>
        <v>3046</v>
      </c>
      <c r="G8" s="4" t="n">
        <f aca="false">IFERROR((E8-D8)/D8,0)</f>
        <v>0.0634583333333333</v>
      </c>
    </row>
    <row r="9" customFormat="false" ht="15" hidden="false" customHeight="false" outlineLevel="0" collapsed="false">
      <c r="A9" s="2" t="s">
        <v>7</v>
      </c>
      <c r="B9" s="2" t="s">
        <v>13</v>
      </c>
      <c r="C9" s="2" t="s">
        <v>10</v>
      </c>
      <c r="D9" s="3" t="n">
        <v>48000</v>
      </c>
      <c r="E9" s="3" t="n">
        <v>53680</v>
      </c>
      <c r="F9" s="3" t="n">
        <f aca="false">E9-D9</f>
        <v>5680</v>
      </c>
      <c r="G9" s="4" t="n">
        <f aca="false">IFERROR((E9-D9)/D9,0)</f>
        <v>0.118333333333333</v>
      </c>
    </row>
    <row r="10" customFormat="false" ht="15" hidden="false" customHeight="false" outlineLevel="0" collapsed="false">
      <c r="A10" s="2" t="s">
        <v>7</v>
      </c>
      <c r="B10" s="2" t="s">
        <v>13</v>
      </c>
      <c r="C10" s="2" t="s">
        <v>11</v>
      </c>
      <c r="D10" s="3" t="n">
        <v>48000</v>
      </c>
      <c r="E10" s="3" t="n">
        <v>57829</v>
      </c>
      <c r="F10" s="3" t="n">
        <f aca="false">E10-D10</f>
        <v>9829</v>
      </c>
      <c r="G10" s="4" t="n">
        <f aca="false">IFERROR((E10-D10)/D10,0)</f>
        <v>0.204770833333333</v>
      </c>
    </row>
    <row r="11" customFormat="false" ht="15" hidden="false" customHeight="false" outlineLevel="0" collapsed="false">
      <c r="A11" s="2" t="s">
        <v>7</v>
      </c>
      <c r="B11" s="2" t="s">
        <v>14</v>
      </c>
      <c r="C11" s="2" t="s">
        <v>9</v>
      </c>
      <c r="D11" s="3" t="n">
        <v>14000</v>
      </c>
      <c r="E11" s="3" t="n">
        <v>13914</v>
      </c>
      <c r="F11" s="3" t="n">
        <f aca="false">E11-D11</f>
        <v>-86</v>
      </c>
      <c r="G11" s="4" t="n">
        <f aca="false">IFERROR((E11-D11)/D11,0)</f>
        <v>-0.00614285714285714</v>
      </c>
    </row>
    <row r="12" customFormat="false" ht="15" hidden="false" customHeight="false" outlineLevel="0" collapsed="false">
      <c r="A12" s="2" t="s">
        <v>7</v>
      </c>
      <c r="B12" s="2" t="s">
        <v>14</v>
      </c>
      <c r="C12" s="2" t="s">
        <v>10</v>
      </c>
      <c r="D12" s="3" t="n">
        <v>14000</v>
      </c>
      <c r="E12" s="3" t="n">
        <v>14485</v>
      </c>
      <c r="F12" s="3" t="n">
        <f aca="false">E12-D12</f>
        <v>485</v>
      </c>
      <c r="G12" s="4" t="n">
        <f aca="false">IFERROR((E12-D12)/D12,0)</f>
        <v>0.0346428571428571</v>
      </c>
    </row>
    <row r="13" customFormat="false" ht="15" hidden="false" customHeight="false" outlineLevel="0" collapsed="false">
      <c r="A13" s="2" t="s">
        <v>7</v>
      </c>
      <c r="B13" s="2" t="s">
        <v>14</v>
      </c>
      <c r="C13" s="2" t="s">
        <v>11</v>
      </c>
      <c r="D13" s="3" t="n">
        <v>14000</v>
      </c>
      <c r="E13" s="3" t="n">
        <v>14814</v>
      </c>
      <c r="F13" s="3" t="n">
        <f aca="false">E13-D13</f>
        <v>814</v>
      </c>
      <c r="G13" s="4" t="n">
        <f aca="false">IFERROR((E13-D13)/D13,0)</f>
        <v>0.0581428571428571</v>
      </c>
    </row>
    <row r="14" customFormat="false" ht="15" hidden="false" customHeight="false" outlineLevel="0" collapsed="false">
      <c r="A14" s="2" t="s">
        <v>7</v>
      </c>
      <c r="B14" s="2" t="s">
        <v>15</v>
      </c>
      <c r="C14" s="2" t="s">
        <v>9</v>
      </c>
      <c r="D14" s="3" t="n">
        <v>65000</v>
      </c>
      <c r="E14" s="3" t="n">
        <v>45942</v>
      </c>
      <c r="F14" s="3" t="n">
        <f aca="false">E14-D14</f>
        <v>-19058</v>
      </c>
      <c r="G14" s="4" t="n">
        <f aca="false">IFERROR((E14-D14)/D14,0)</f>
        <v>-0.2932</v>
      </c>
    </row>
    <row r="15" customFormat="false" ht="15" hidden="false" customHeight="false" outlineLevel="0" collapsed="false">
      <c r="A15" s="2" t="s">
        <v>7</v>
      </c>
      <c r="B15" s="2" t="s">
        <v>15</v>
      </c>
      <c r="C15" s="2" t="s">
        <v>10</v>
      </c>
      <c r="D15" s="3" t="n">
        <v>65000</v>
      </c>
      <c r="E15" s="3" t="n">
        <v>44721</v>
      </c>
      <c r="F15" s="3" t="n">
        <f aca="false">E15-D15</f>
        <v>-20279</v>
      </c>
      <c r="G15" s="4" t="n">
        <f aca="false">IFERROR((E15-D15)/D15,0)</f>
        <v>-0.311984615384615</v>
      </c>
    </row>
    <row r="16" customFormat="false" ht="15" hidden="false" customHeight="false" outlineLevel="0" collapsed="false">
      <c r="A16" s="2" t="s">
        <v>7</v>
      </c>
      <c r="B16" s="2" t="s">
        <v>15</v>
      </c>
      <c r="C16" s="2" t="s">
        <v>11</v>
      </c>
      <c r="D16" s="3" t="n">
        <v>65000</v>
      </c>
      <c r="E16" s="3" t="n">
        <v>39637</v>
      </c>
      <c r="F16" s="3" t="n">
        <f aca="false">E16-D16</f>
        <v>-25363</v>
      </c>
      <c r="G16" s="4" t="n">
        <f aca="false">IFERROR((E16-D16)/D16,0)</f>
        <v>-0.3902</v>
      </c>
    </row>
    <row r="17" customFormat="false" ht="15" hidden="false" customHeight="false" outlineLevel="0" collapsed="false">
      <c r="A17" s="2" t="s">
        <v>16</v>
      </c>
      <c r="B17" s="2" t="s">
        <v>8</v>
      </c>
      <c r="C17" s="2" t="s">
        <v>9</v>
      </c>
      <c r="D17" s="3" t="n">
        <v>240000</v>
      </c>
      <c r="E17" s="3" t="n">
        <v>236313</v>
      </c>
      <c r="F17" s="3" t="n">
        <f aca="false">E17-D17</f>
        <v>-3687</v>
      </c>
      <c r="G17" s="4" t="n">
        <f aca="false">IFERROR((E17-D17)/D17,0)</f>
        <v>-0.0153625</v>
      </c>
    </row>
    <row r="18" customFormat="false" ht="15" hidden="false" customHeight="false" outlineLevel="0" collapsed="false">
      <c r="A18" s="2" t="s">
        <v>16</v>
      </c>
      <c r="B18" s="2" t="s">
        <v>8</v>
      </c>
      <c r="C18" s="2" t="s">
        <v>10</v>
      </c>
      <c r="D18" s="3" t="n">
        <v>240000</v>
      </c>
      <c r="E18" s="3" t="n">
        <v>244670</v>
      </c>
      <c r="F18" s="3" t="n">
        <f aca="false">E18-D18</f>
        <v>4670</v>
      </c>
      <c r="G18" s="4" t="n">
        <f aca="false">IFERROR((E18-D18)/D18,0)</f>
        <v>0.0194583333333333</v>
      </c>
    </row>
    <row r="19" customFormat="false" ht="15" hidden="false" customHeight="false" outlineLevel="0" collapsed="false">
      <c r="A19" s="2" t="s">
        <v>16</v>
      </c>
      <c r="B19" s="2" t="s">
        <v>8</v>
      </c>
      <c r="C19" s="2" t="s">
        <v>11</v>
      </c>
      <c r="D19" s="3" t="n">
        <v>240000</v>
      </c>
      <c r="E19" s="3" t="n">
        <v>235209</v>
      </c>
      <c r="F19" s="3" t="n">
        <f aca="false">E19-D19</f>
        <v>-4791</v>
      </c>
      <c r="G19" s="4" t="n">
        <f aca="false">IFERROR((E19-D19)/D19,0)</f>
        <v>-0.0199625</v>
      </c>
    </row>
    <row r="20" customFormat="false" ht="15" hidden="false" customHeight="false" outlineLevel="0" collapsed="false">
      <c r="A20" s="2" t="s">
        <v>16</v>
      </c>
      <c r="B20" s="2" t="s">
        <v>17</v>
      </c>
      <c r="C20" s="2" t="s">
        <v>9</v>
      </c>
      <c r="D20" s="3" t="n">
        <v>175000</v>
      </c>
      <c r="E20" s="3" t="n">
        <v>202504</v>
      </c>
      <c r="F20" s="3" t="n">
        <f aca="false">E20-D20</f>
        <v>27504</v>
      </c>
      <c r="G20" s="4" t="n">
        <f aca="false">IFERROR((E20-D20)/D20,0)</f>
        <v>0.157165714285714</v>
      </c>
    </row>
    <row r="21" customFormat="false" ht="15" hidden="false" customHeight="false" outlineLevel="0" collapsed="false">
      <c r="A21" s="2" t="s">
        <v>16</v>
      </c>
      <c r="B21" s="2" t="s">
        <v>17</v>
      </c>
      <c r="C21" s="2" t="s">
        <v>10</v>
      </c>
      <c r="D21" s="3" t="n">
        <v>175000</v>
      </c>
      <c r="E21" s="3" t="n">
        <v>216959</v>
      </c>
      <c r="F21" s="3" t="n">
        <f aca="false">E21-D21</f>
        <v>41959</v>
      </c>
      <c r="G21" s="4" t="n">
        <f aca="false">IFERROR((E21-D21)/D21,0)</f>
        <v>0.239765714285714</v>
      </c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11</v>
      </c>
      <c r="D22" s="3" t="n">
        <v>175000</v>
      </c>
      <c r="E22" s="3" t="n">
        <v>223839</v>
      </c>
      <c r="F22" s="3" t="n">
        <f aca="false">E22-D22</f>
        <v>48839</v>
      </c>
      <c r="G22" s="4" t="n">
        <f aca="false">IFERROR((E22-D22)/D22,0)</f>
        <v>0.27908</v>
      </c>
    </row>
    <row r="23" customFormat="false" ht="15" hidden="false" customHeight="false" outlineLevel="0" collapsed="false">
      <c r="A23" s="2" t="s">
        <v>16</v>
      </c>
      <c r="B23" s="2" t="s">
        <v>18</v>
      </c>
      <c r="C23" s="2" t="s">
        <v>9</v>
      </c>
      <c r="D23" s="3" t="n">
        <v>58000</v>
      </c>
      <c r="E23" s="3" t="n">
        <v>61204</v>
      </c>
      <c r="F23" s="3" t="n">
        <f aca="false">E23-D23</f>
        <v>3204</v>
      </c>
      <c r="G23" s="4" t="n">
        <f aca="false">IFERROR((E23-D23)/D23,0)</f>
        <v>0.0552413793103448</v>
      </c>
    </row>
    <row r="24" customFormat="false" ht="15" hidden="false" customHeight="false" outlineLevel="0" collapsed="false">
      <c r="A24" s="2" t="s">
        <v>16</v>
      </c>
      <c r="B24" s="2" t="s">
        <v>18</v>
      </c>
      <c r="C24" s="2" t="s">
        <v>10</v>
      </c>
      <c r="D24" s="3" t="n">
        <v>58000</v>
      </c>
      <c r="E24" s="3" t="n">
        <v>61991</v>
      </c>
      <c r="F24" s="3" t="n">
        <f aca="false">E24-D24</f>
        <v>3991</v>
      </c>
      <c r="G24" s="4" t="n">
        <f aca="false">IFERROR((E24-D24)/D24,0)</f>
        <v>0.0688103448275862</v>
      </c>
    </row>
    <row r="25" customFormat="false" ht="15" hidden="false" customHeight="false" outlineLevel="0" collapsed="false">
      <c r="A25" s="2" t="s">
        <v>16</v>
      </c>
      <c r="B25" s="2" t="s">
        <v>18</v>
      </c>
      <c r="C25" s="2" t="s">
        <v>11</v>
      </c>
      <c r="D25" s="3" t="n">
        <v>58000</v>
      </c>
      <c r="E25" s="3" t="n">
        <v>66745</v>
      </c>
      <c r="F25" s="3" t="n">
        <f aca="false">E25-D25</f>
        <v>8745</v>
      </c>
      <c r="G25" s="4" t="n">
        <f aca="false">IFERROR((E25-D25)/D25,0)</f>
        <v>0.150775862068966</v>
      </c>
    </row>
    <row r="26" customFormat="false" ht="15" hidden="false" customHeight="false" outlineLevel="0" collapsed="false">
      <c r="A26" s="2" t="s">
        <v>16</v>
      </c>
      <c r="B26" s="2" t="s">
        <v>19</v>
      </c>
      <c r="C26" s="2" t="s">
        <v>9</v>
      </c>
      <c r="D26" s="3" t="n">
        <v>18000</v>
      </c>
      <c r="E26" s="3" t="n">
        <v>16398</v>
      </c>
      <c r="F26" s="3" t="n">
        <f aca="false">E26-D26</f>
        <v>-1602</v>
      </c>
      <c r="G26" s="4" t="n">
        <f aca="false">IFERROR((E26-D26)/D26,0)</f>
        <v>-0.089</v>
      </c>
    </row>
    <row r="27" customFormat="false" ht="15" hidden="false" customHeight="false" outlineLevel="0" collapsed="false">
      <c r="A27" s="2" t="s">
        <v>16</v>
      </c>
      <c r="B27" s="2" t="s">
        <v>19</v>
      </c>
      <c r="C27" s="2" t="s">
        <v>10</v>
      </c>
      <c r="D27" s="3" t="n">
        <v>18000</v>
      </c>
      <c r="E27" s="3" t="n">
        <v>15413</v>
      </c>
      <c r="F27" s="3" t="n">
        <f aca="false">E27-D27</f>
        <v>-2587</v>
      </c>
      <c r="G27" s="4" t="n">
        <f aca="false">IFERROR((E27-D27)/D27,0)</f>
        <v>-0.143722222222222</v>
      </c>
    </row>
    <row r="28" customFormat="false" ht="15" hidden="false" customHeight="false" outlineLevel="0" collapsed="false">
      <c r="A28" s="2" t="s">
        <v>16</v>
      </c>
      <c r="B28" s="2" t="s">
        <v>19</v>
      </c>
      <c r="C28" s="2" t="s">
        <v>11</v>
      </c>
      <c r="D28" s="3" t="n">
        <v>18000</v>
      </c>
      <c r="E28" s="3" t="n">
        <v>25707</v>
      </c>
      <c r="F28" s="3" t="n">
        <f aca="false">E28-D28</f>
        <v>7707</v>
      </c>
      <c r="G28" s="4" t="n">
        <f aca="false">IFERROR((E28-D28)/D28,0)</f>
        <v>0.428166666666667</v>
      </c>
    </row>
    <row r="29" customFormat="false" ht="15" hidden="false" customHeight="false" outlineLevel="0" collapsed="false">
      <c r="A29" s="2" t="s">
        <v>16</v>
      </c>
      <c r="B29" s="2" t="s">
        <v>20</v>
      </c>
      <c r="C29" s="2" t="s">
        <v>9</v>
      </c>
      <c r="D29" s="3" t="n">
        <v>12000</v>
      </c>
      <c r="E29" s="3" t="n">
        <v>12496</v>
      </c>
      <c r="F29" s="3" t="n">
        <f aca="false">E29-D29</f>
        <v>496</v>
      </c>
      <c r="G29" s="4" t="n">
        <f aca="false">IFERROR((E29-D29)/D29,0)</f>
        <v>0.0413333333333333</v>
      </c>
    </row>
    <row r="30" customFormat="false" ht="15" hidden="false" customHeight="false" outlineLevel="0" collapsed="false">
      <c r="A30" s="2" t="s">
        <v>16</v>
      </c>
      <c r="B30" s="2" t="s">
        <v>20</v>
      </c>
      <c r="C30" s="2" t="s">
        <v>10</v>
      </c>
      <c r="D30" s="3" t="n">
        <v>12000</v>
      </c>
      <c r="E30" s="3" t="n">
        <v>12687</v>
      </c>
      <c r="F30" s="3" t="n">
        <f aca="false">E30-D30</f>
        <v>687</v>
      </c>
      <c r="G30" s="4" t="n">
        <f aca="false">IFERROR((E30-D30)/D30,0)</f>
        <v>0.05725</v>
      </c>
    </row>
    <row r="31" customFormat="false" ht="15" hidden="false" customHeight="false" outlineLevel="0" collapsed="false">
      <c r="A31" s="2" t="s">
        <v>16</v>
      </c>
      <c r="B31" s="2" t="s">
        <v>20</v>
      </c>
      <c r="C31" s="2" t="s">
        <v>11</v>
      </c>
      <c r="D31" s="3" t="n">
        <v>12000</v>
      </c>
      <c r="E31" s="3" t="n">
        <v>13439</v>
      </c>
      <c r="F31" s="3" t="n">
        <f aca="false">E31-D31</f>
        <v>1439</v>
      </c>
      <c r="G31" s="4" t="n">
        <f aca="false">IFERROR((E31-D31)/D31,0)</f>
        <v>0.119916666666667</v>
      </c>
    </row>
    <row r="32" customFormat="false" ht="15" hidden="false" customHeight="false" outlineLevel="0" collapsed="false">
      <c r="A32" s="2" t="s">
        <v>21</v>
      </c>
      <c r="B32" s="2" t="s">
        <v>8</v>
      </c>
      <c r="C32" s="2" t="s">
        <v>9</v>
      </c>
      <c r="D32" s="3" t="n">
        <v>145000</v>
      </c>
      <c r="E32" s="3" t="n">
        <v>146458</v>
      </c>
      <c r="F32" s="3" t="n">
        <f aca="false">E32-D32</f>
        <v>1458</v>
      </c>
      <c r="G32" s="4" t="n">
        <f aca="false">IFERROR((E32-D32)/D32,0)</f>
        <v>0.0100551724137931</v>
      </c>
    </row>
    <row r="33" customFormat="false" ht="15" hidden="false" customHeight="false" outlineLevel="0" collapsed="false">
      <c r="A33" s="2" t="s">
        <v>21</v>
      </c>
      <c r="B33" s="2" t="s">
        <v>8</v>
      </c>
      <c r="C33" s="2" t="s">
        <v>10</v>
      </c>
      <c r="D33" s="3" t="n">
        <v>145000</v>
      </c>
      <c r="E33" s="3" t="n">
        <v>149245</v>
      </c>
      <c r="F33" s="3" t="n">
        <f aca="false">E33-D33</f>
        <v>4245</v>
      </c>
      <c r="G33" s="4" t="n">
        <f aca="false">IFERROR((E33-D33)/D33,0)</f>
        <v>0.0292758620689655</v>
      </c>
    </row>
    <row r="34" customFormat="false" ht="15" hidden="false" customHeight="false" outlineLevel="0" collapsed="false">
      <c r="A34" s="2" t="s">
        <v>21</v>
      </c>
      <c r="B34" s="2" t="s">
        <v>8</v>
      </c>
      <c r="C34" s="2" t="s">
        <v>11</v>
      </c>
      <c r="D34" s="3" t="n">
        <v>145000</v>
      </c>
      <c r="E34" s="3" t="n">
        <v>145830</v>
      </c>
      <c r="F34" s="3" t="n">
        <f aca="false">E34-D34</f>
        <v>830</v>
      </c>
      <c r="G34" s="4" t="n">
        <f aca="false">IFERROR((E34-D34)/D34,0)</f>
        <v>0.00572413793103448</v>
      </c>
    </row>
    <row r="35" customFormat="false" ht="15" hidden="false" customHeight="false" outlineLevel="0" collapsed="false">
      <c r="A35" s="2" t="s">
        <v>21</v>
      </c>
      <c r="B35" s="2" t="s">
        <v>22</v>
      </c>
      <c r="C35" s="2" t="s">
        <v>9</v>
      </c>
      <c r="D35" s="3" t="n">
        <v>38000</v>
      </c>
      <c r="E35" s="3" t="n">
        <v>56588</v>
      </c>
      <c r="F35" s="3" t="n">
        <f aca="false">E35-D35</f>
        <v>18588</v>
      </c>
      <c r="G35" s="4" t="n">
        <f aca="false">IFERROR((E35-D35)/D35,0)</f>
        <v>0.489157894736842</v>
      </c>
    </row>
    <row r="36" customFormat="false" ht="15" hidden="false" customHeight="false" outlineLevel="0" collapsed="false">
      <c r="A36" s="2" t="s">
        <v>21</v>
      </c>
      <c r="B36" s="2" t="s">
        <v>22</v>
      </c>
      <c r="C36" s="2" t="s">
        <v>10</v>
      </c>
      <c r="D36" s="3" t="n">
        <v>38000</v>
      </c>
      <c r="E36" s="3" t="n">
        <v>45893</v>
      </c>
      <c r="F36" s="3" t="n">
        <f aca="false">E36-D36</f>
        <v>7893</v>
      </c>
      <c r="G36" s="4" t="n">
        <f aca="false">IFERROR((E36-D36)/D36,0)</f>
        <v>0.207710526315789</v>
      </c>
    </row>
    <row r="37" customFormat="false" ht="15" hidden="false" customHeight="false" outlineLevel="0" collapsed="false">
      <c r="A37" s="2" t="s">
        <v>21</v>
      </c>
      <c r="B37" s="2" t="s">
        <v>22</v>
      </c>
      <c r="C37" s="2" t="s">
        <v>11</v>
      </c>
      <c r="D37" s="3" t="n">
        <v>38000</v>
      </c>
      <c r="E37" s="3" t="n">
        <v>46673</v>
      </c>
      <c r="F37" s="3" t="n">
        <f aca="false">E37-D37</f>
        <v>8673</v>
      </c>
      <c r="G37" s="4" t="n">
        <f aca="false">IFERROR((E37-D37)/D37,0)</f>
        <v>0.228236842105263</v>
      </c>
    </row>
    <row r="38" customFormat="false" ht="15" hidden="false" customHeight="false" outlineLevel="0" collapsed="false">
      <c r="A38" s="2" t="s">
        <v>21</v>
      </c>
      <c r="B38" s="2" t="s">
        <v>23</v>
      </c>
      <c r="C38" s="2" t="s">
        <v>9</v>
      </c>
      <c r="D38" s="3" t="n">
        <v>42000</v>
      </c>
      <c r="E38" s="3" t="n">
        <v>42553</v>
      </c>
      <c r="F38" s="3" t="n">
        <f aca="false">E38-D38</f>
        <v>553</v>
      </c>
      <c r="G38" s="4" t="n">
        <f aca="false">IFERROR((E38-D38)/D38,0)</f>
        <v>0.0131666666666667</v>
      </c>
    </row>
    <row r="39" customFormat="false" ht="15" hidden="false" customHeight="false" outlineLevel="0" collapsed="false">
      <c r="A39" s="2" t="s">
        <v>21</v>
      </c>
      <c r="B39" s="2" t="s">
        <v>23</v>
      </c>
      <c r="C39" s="2" t="s">
        <v>10</v>
      </c>
      <c r="D39" s="3" t="n">
        <v>42000</v>
      </c>
      <c r="E39" s="3" t="n">
        <v>42012</v>
      </c>
      <c r="F39" s="3" t="n">
        <f aca="false">E39-D39</f>
        <v>12</v>
      </c>
      <c r="G39" s="4" t="n">
        <f aca="false">IFERROR((E39-D39)/D39,0)</f>
        <v>0.000285714285714286</v>
      </c>
    </row>
    <row r="40" customFormat="false" ht="15" hidden="false" customHeight="false" outlineLevel="0" collapsed="false">
      <c r="A40" s="2" t="s">
        <v>21</v>
      </c>
      <c r="B40" s="2" t="s">
        <v>23</v>
      </c>
      <c r="C40" s="2" t="s">
        <v>11</v>
      </c>
      <c r="D40" s="3" t="n">
        <v>42000</v>
      </c>
      <c r="E40" s="3" t="n">
        <v>42833</v>
      </c>
      <c r="F40" s="3" t="n">
        <f aca="false">E40-D40</f>
        <v>833</v>
      </c>
      <c r="G40" s="4" t="n">
        <f aca="false">IFERROR((E40-D40)/D40,0)</f>
        <v>0.0198333333333333</v>
      </c>
    </row>
    <row r="41" customFormat="false" ht="15" hidden="false" customHeight="false" outlineLevel="0" collapsed="false">
      <c r="A41" s="2" t="s">
        <v>21</v>
      </c>
      <c r="B41" s="2" t="s">
        <v>24</v>
      </c>
      <c r="C41" s="2" t="s">
        <v>9</v>
      </c>
      <c r="D41" s="3" t="n">
        <v>9500</v>
      </c>
      <c r="E41" s="3" t="n">
        <v>9527</v>
      </c>
      <c r="F41" s="3" t="n">
        <f aca="false">E41-D41</f>
        <v>27</v>
      </c>
      <c r="G41" s="4" t="n">
        <f aca="false">IFERROR((E41-D41)/D41,0)</f>
        <v>0.0028421052631579</v>
      </c>
    </row>
    <row r="42" customFormat="false" ht="15" hidden="false" customHeight="false" outlineLevel="0" collapsed="false">
      <c r="A42" s="2" t="s">
        <v>21</v>
      </c>
      <c r="B42" s="2" t="s">
        <v>24</v>
      </c>
      <c r="C42" s="2" t="s">
        <v>10</v>
      </c>
      <c r="D42" s="3" t="n">
        <v>9500</v>
      </c>
      <c r="E42" s="3" t="n">
        <v>9726</v>
      </c>
      <c r="F42" s="3" t="n">
        <f aca="false">E42-D42</f>
        <v>226</v>
      </c>
      <c r="G42" s="4" t="n">
        <f aca="false">IFERROR((E42-D42)/D42,0)</f>
        <v>0.0237894736842105</v>
      </c>
    </row>
    <row r="43" customFormat="false" ht="15" hidden="false" customHeight="false" outlineLevel="0" collapsed="false">
      <c r="A43" s="2" t="s">
        <v>21</v>
      </c>
      <c r="B43" s="2" t="s">
        <v>24</v>
      </c>
      <c r="C43" s="2" t="s">
        <v>11</v>
      </c>
      <c r="D43" s="3" t="n">
        <v>9500</v>
      </c>
      <c r="E43" s="3" t="n">
        <v>9639</v>
      </c>
      <c r="F43" s="3" t="n">
        <f aca="false">E43-D43</f>
        <v>139</v>
      </c>
      <c r="G43" s="4" t="n">
        <f aca="false">IFERROR((E43-D43)/D43,0)</f>
        <v>0.0146315789473684</v>
      </c>
    </row>
    <row r="44" customFormat="false" ht="15" hidden="false" customHeight="false" outlineLevel="0" collapsed="false">
      <c r="A44" s="2" t="s">
        <v>21</v>
      </c>
      <c r="B44" s="2" t="s">
        <v>25</v>
      </c>
      <c r="C44" s="2" t="s">
        <v>9</v>
      </c>
      <c r="D44" s="3" t="n">
        <v>4200</v>
      </c>
      <c r="E44" s="3" t="n">
        <v>3565</v>
      </c>
      <c r="F44" s="3" t="n">
        <f aca="false">E44-D44</f>
        <v>-635</v>
      </c>
      <c r="G44" s="4" t="n">
        <f aca="false">IFERROR((E44-D44)/D44,0)</f>
        <v>-0.151190476190476</v>
      </c>
    </row>
    <row r="45" customFormat="false" ht="15" hidden="false" customHeight="false" outlineLevel="0" collapsed="false">
      <c r="A45" s="2" t="s">
        <v>21</v>
      </c>
      <c r="B45" s="2" t="s">
        <v>25</v>
      </c>
      <c r="C45" s="2" t="s">
        <v>10</v>
      </c>
      <c r="D45" s="3" t="n">
        <v>4200</v>
      </c>
      <c r="E45" s="3" t="n">
        <v>3725</v>
      </c>
      <c r="F45" s="3" t="n">
        <f aca="false">E45-D45</f>
        <v>-475</v>
      </c>
      <c r="G45" s="4" t="n">
        <f aca="false">IFERROR((E45-D45)/D45,0)</f>
        <v>-0.113095238095238</v>
      </c>
    </row>
    <row r="46" customFormat="false" ht="15" hidden="false" customHeight="false" outlineLevel="0" collapsed="false">
      <c r="A46" s="2" t="s">
        <v>21</v>
      </c>
      <c r="B46" s="2" t="s">
        <v>25</v>
      </c>
      <c r="C46" s="2" t="s">
        <v>11</v>
      </c>
      <c r="D46" s="3" t="n">
        <v>4200</v>
      </c>
      <c r="E46" s="3" t="n">
        <v>3929</v>
      </c>
      <c r="F46" s="3" t="n">
        <f aca="false">E46-D46</f>
        <v>-271</v>
      </c>
      <c r="G46" s="4" t="n">
        <f aca="false">IFERROR((E46-D46)/D46,0)</f>
        <v>-0.0645238095238095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2026-05-16T12:03:07Z</dcterms:created>
  <dc:creator>openpyxl</dc:creator>
  <dc:description/>
  <dc:language>en-US</dc:language>
  <cp:lastModifiedBy/>
  <dcterms:modified xsi:type="dcterms:W3CDTF">2026-05-16T12:03:07Z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