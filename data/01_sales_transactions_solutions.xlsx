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complianceiq-chatgpt-excel-addin\data\"/>
    </mc:Choice>
  </mc:AlternateContent>
  <xr:revisionPtr revIDLastSave="0" documentId="8_{A64230C5-177F-4F1C-8A9A-4100AAC367A7}" xr6:coauthVersionLast="47" xr6:coauthVersionMax="47" xr10:uidLastSave="{00000000-0000-0000-0000-000000000000}"/>
  <bookViews>
    <workbookView xWindow="-93" yWindow="-93" windowWidth="16826" windowHeight="11280" tabRatio="500" xr2:uid="{00000000-000D-0000-FFFF-FFFF00000000}"/>
  </bookViews>
  <sheets>
    <sheet name="Sales" sheetId="1" r:id="rId1"/>
  </sheets>
  <definedNames>
    <definedName name="_xlnm._FilterDatabase" localSheetId="0" hidden="1">Sales!$A$1:$J$1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1" l="1"/>
  <c r="J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<sst xmlns="http://schemas.openxmlformats.org/spreadsheetml/2006/main" count="331" uniqueCount="38">
  <si>
    <t>OrderID</t>
  </si>
  <si>
    <t>OrderDate</t>
  </si>
  <si>
    <t>Region</t>
  </si>
  <si>
    <t>Salesperson</t>
  </si>
  <si>
    <t>Product</t>
  </si>
  <si>
    <t>Category</t>
  </si>
  <si>
    <t>Quantity</t>
  </si>
  <si>
    <t>UnitPrice</t>
  </si>
  <si>
    <t>Discount</t>
  </si>
  <si>
    <t>Revenue</t>
  </si>
  <si>
    <t>South</t>
  </si>
  <si>
    <t>Sam Reyes</t>
  </si>
  <si>
    <t>Laptop Pro 14</t>
  </si>
  <si>
    <t>Hardware</t>
  </si>
  <si>
    <t>Central</t>
  </si>
  <si>
    <t>Priya Shah</t>
  </si>
  <si>
    <t>Office Suite Lic</t>
  </si>
  <si>
    <t>Software</t>
  </si>
  <si>
    <t>Wireless Mouse</t>
  </si>
  <si>
    <t>Accessories</t>
  </si>
  <si>
    <t>Drew Kim</t>
  </si>
  <si>
    <t>West</t>
  </si>
  <si>
    <t>Casey Nguyen</t>
  </si>
  <si>
    <t>USB-C Hub</t>
  </si>
  <si>
    <t>North</t>
  </si>
  <si>
    <t>Laptop Pro 16</t>
  </si>
  <si>
    <t>Riley Brooks</t>
  </si>
  <si>
    <t>East</t>
  </si>
  <si>
    <t>Docking Station</t>
  </si>
  <si>
    <t>Morgan Patel</t>
  </si>
  <si>
    <t>Jordan Lee</t>
  </si>
  <si>
    <t>Headset</t>
  </si>
  <si>
    <t>Monitor 27"</t>
  </si>
  <si>
    <t>Alex Carter</t>
  </si>
  <si>
    <t>Mech Keyboard</t>
  </si>
  <si>
    <t>Backup Cloud 1TB</t>
  </si>
  <si>
    <t>Security Suite Lic</t>
  </si>
  <si>
    <t>Net Revenue After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</si>
</sst>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92AE0B-2437-43AC-9182-1058D0977997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G1" zoomScaleNormal="100" workbookViewId="0">
      <pane ySplit="1" topLeftCell="A2" activePane="bottomLeft" state="frozen"/>
      <selection pane="bottomLeft" activeCell="L8" sqref="L8"/>
    </sheetView>
  </sheetViews>
  <sheetFormatPr defaultColWidth="8.703125" defaultRowHeight="14.35" x14ac:dyDescent="0.5"/>
  <cols>
    <col min="1" max="1" width="10" customWidth="1"/>
    <col min="2" max="2" width="12" customWidth="1"/>
    <col min="3" max="3" width="10" customWidth="1"/>
    <col min="4" max="4" width="14" customWidth="1"/>
    <col min="5" max="5" width="20" customWidth="1"/>
    <col min="6" max="6" width="13" customWidth="1"/>
    <col min="7" max="7" width="10" customWidth="1"/>
    <col min="8" max="8" width="11" customWidth="1"/>
    <col min="9" max="9" width="10" customWidth="1"/>
    <col min="10" max="10" width="18" customWidth="1"/>
    <col min="11" max="11" width="29.76171875" bestFit="1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</v>
      </c>
    </row>
    <row r="2" spans="1:12" x14ac:dyDescent="0.5">
      <c r="A2" s="2">
        <v>10001</v>
      </c>
      <c r="B2" s="3">
        <v>45826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12</v>
      </c>
      <c r="H2" s="4">
        <v>1450</v>
      </c>
      <c r="I2" s="5">
        <v>0</v>
      </c>
      <c r="J2" s="4">
        <f t="shared" ref="J2:J33" si="0">G2*H2*(1-I2)</f>
        <v>17400</v>
      </c>
      <c r="K2" s="4">
        <f>J2*(1-4%)</f>
        <v>16704</v>
      </c>
      <c r="L2">
        <f>IF(F2="Hardware",J2*0.05,J2*0.03)</f>
        <v>870</v>
      </c>
    </row>
    <row r="3" spans="1:12" x14ac:dyDescent="0.5">
      <c r="A3" s="2">
        <v>10002</v>
      </c>
      <c r="B3" s="3">
        <v>45698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11</v>
      </c>
      <c r="H3" s="4">
        <v>180</v>
      </c>
      <c r="I3" s="5">
        <v>0.15</v>
      </c>
      <c r="J3" s="4">
        <f t="shared" si="0"/>
        <v>1683</v>
      </c>
      <c r="K3" s="4">
        <f>J3*(1-4%)</f>
        <v>1615.6799999999998</v>
      </c>
    </row>
    <row r="4" spans="1:12" x14ac:dyDescent="0.5">
      <c r="A4" s="2">
        <v>10003</v>
      </c>
      <c r="B4" s="3">
        <v>45814</v>
      </c>
      <c r="C4" s="2" t="s">
        <v>10</v>
      </c>
      <c r="D4" s="2" t="s">
        <v>11</v>
      </c>
      <c r="E4" s="2" t="s">
        <v>18</v>
      </c>
      <c r="F4" s="2" t="s">
        <v>19</v>
      </c>
      <c r="G4" s="2">
        <v>1</v>
      </c>
      <c r="H4" s="4">
        <v>35</v>
      </c>
      <c r="I4" s="5">
        <v>0</v>
      </c>
      <c r="J4" s="4">
        <f t="shared" si="0"/>
        <v>35</v>
      </c>
      <c r="K4" s="4">
        <f>J4*(1-4%)</f>
        <v>33.6</v>
      </c>
    </row>
    <row r="5" spans="1:12" x14ac:dyDescent="0.5">
      <c r="A5" s="2">
        <v>10004</v>
      </c>
      <c r="B5" s="3">
        <v>45792</v>
      </c>
      <c r="C5" s="2" t="s">
        <v>14</v>
      </c>
      <c r="D5" s="2" t="s">
        <v>20</v>
      </c>
      <c r="E5" s="2" t="s">
        <v>16</v>
      </c>
      <c r="F5" s="2" t="s">
        <v>17</v>
      </c>
      <c r="G5" s="2">
        <v>9</v>
      </c>
      <c r="H5" s="4">
        <v>180</v>
      </c>
      <c r="I5" s="5">
        <v>0</v>
      </c>
      <c r="J5" s="4">
        <f t="shared" si="0"/>
        <v>1620</v>
      </c>
      <c r="K5" s="4">
        <f>J5*(1-4%)</f>
        <v>1555.2</v>
      </c>
    </row>
    <row r="6" spans="1:12" x14ac:dyDescent="0.5">
      <c r="A6" s="2">
        <v>10005</v>
      </c>
      <c r="B6" s="3">
        <v>45719</v>
      </c>
      <c r="C6" s="2" t="s">
        <v>21</v>
      </c>
      <c r="D6" s="2" t="s">
        <v>22</v>
      </c>
      <c r="E6" s="2" t="s">
        <v>23</v>
      </c>
      <c r="F6" s="2" t="s">
        <v>19</v>
      </c>
      <c r="G6" s="2">
        <v>1</v>
      </c>
      <c r="H6" s="4">
        <v>55</v>
      </c>
      <c r="I6" s="5">
        <v>0</v>
      </c>
      <c r="J6" s="4">
        <f t="shared" si="0"/>
        <v>55</v>
      </c>
      <c r="K6" s="4">
        <f>J6*(1-4%)</f>
        <v>52.8</v>
      </c>
    </row>
    <row r="7" spans="1:12" x14ac:dyDescent="0.5">
      <c r="A7" s="2">
        <v>10006</v>
      </c>
      <c r="B7" s="3">
        <v>45734</v>
      </c>
      <c r="C7" s="2" t="s">
        <v>24</v>
      </c>
      <c r="D7" s="2" t="s">
        <v>20</v>
      </c>
      <c r="E7" s="2" t="s">
        <v>25</v>
      </c>
      <c r="F7" s="2" t="s">
        <v>13</v>
      </c>
      <c r="G7" s="2">
        <v>6</v>
      </c>
      <c r="H7" s="4">
        <v>1850</v>
      </c>
      <c r="I7" s="5">
        <v>0</v>
      </c>
      <c r="J7" s="4">
        <f t="shared" si="0"/>
        <v>11100</v>
      </c>
      <c r="K7" s="4">
        <f>J7*(1-4%)</f>
        <v>10656</v>
      </c>
    </row>
    <row r="8" spans="1:12" x14ac:dyDescent="0.5">
      <c r="A8" s="2">
        <v>10007</v>
      </c>
      <c r="B8" s="3">
        <v>45687</v>
      </c>
      <c r="C8" s="2" t="s">
        <v>24</v>
      </c>
      <c r="D8" s="2" t="s">
        <v>26</v>
      </c>
      <c r="E8" s="2" t="s">
        <v>23</v>
      </c>
      <c r="F8" s="2" t="s">
        <v>19</v>
      </c>
      <c r="G8" s="2">
        <v>10</v>
      </c>
      <c r="H8" s="4">
        <v>55</v>
      </c>
      <c r="I8" s="5">
        <v>0</v>
      </c>
      <c r="J8" s="4">
        <f t="shared" si="0"/>
        <v>550</v>
      </c>
      <c r="K8" s="4">
        <f>J8*(1-4%)</f>
        <v>528</v>
      </c>
    </row>
    <row r="9" spans="1:12" x14ac:dyDescent="0.5">
      <c r="A9" s="2">
        <v>10008</v>
      </c>
      <c r="B9" s="3">
        <v>45800</v>
      </c>
      <c r="C9" s="2" t="s">
        <v>27</v>
      </c>
      <c r="D9" s="2" t="s">
        <v>22</v>
      </c>
      <c r="E9" s="2" t="s">
        <v>28</v>
      </c>
      <c r="F9" s="2" t="s">
        <v>13</v>
      </c>
      <c r="G9" s="2">
        <v>2</v>
      </c>
      <c r="H9" s="4">
        <v>210</v>
      </c>
      <c r="I9" s="5">
        <v>0.1</v>
      </c>
      <c r="J9" s="4">
        <f t="shared" si="0"/>
        <v>378</v>
      </c>
      <c r="K9" s="4">
        <f>J9*(1-4%)</f>
        <v>362.88</v>
      </c>
    </row>
    <row r="10" spans="1:12" x14ac:dyDescent="0.5">
      <c r="A10" s="2">
        <v>10009</v>
      </c>
      <c r="B10" s="3">
        <v>45810</v>
      </c>
      <c r="C10" s="2" t="s">
        <v>10</v>
      </c>
      <c r="D10" s="2" t="s">
        <v>29</v>
      </c>
      <c r="E10" s="2" t="s">
        <v>12</v>
      </c>
      <c r="F10" s="2" t="s">
        <v>13</v>
      </c>
      <c r="G10" s="2">
        <v>1</v>
      </c>
      <c r="H10" s="4">
        <v>1450</v>
      </c>
      <c r="I10" s="5">
        <v>0.15</v>
      </c>
      <c r="J10" s="4">
        <f t="shared" si="0"/>
        <v>1232.5</v>
      </c>
      <c r="K10" s="4">
        <f>J10*(1-4%)</f>
        <v>1183.2</v>
      </c>
    </row>
    <row r="11" spans="1:12" x14ac:dyDescent="0.5">
      <c r="A11" s="2">
        <v>10010</v>
      </c>
      <c r="B11" s="3">
        <v>45683</v>
      </c>
      <c r="C11" s="2" t="s">
        <v>21</v>
      </c>
      <c r="D11" s="2" t="s">
        <v>22</v>
      </c>
      <c r="E11" s="2" t="s">
        <v>12</v>
      </c>
      <c r="F11" s="2" t="s">
        <v>13</v>
      </c>
      <c r="G11" s="2">
        <v>7</v>
      </c>
      <c r="H11" s="4">
        <v>1450</v>
      </c>
      <c r="I11" s="5">
        <v>0</v>
      </c>
      <c r="J11" s="4">
        <f t="shared" si="0"/>
        <v>10150</v>
      </c>
      <c r="K11" s="4">
        <f>J11*(1-4%)</f>
        <v>9744</v>
      </c>
    </row>
    <row r="12" spans="1:12" x14ac:dyDescent="0.5">
      <c r="A12" s="2">
        <v>10011</v>
      </c>
      <c r="B12" s="3">
        <v>45704</v>
      </c>
      <c r="C12" s="2" t="s">
        <v>27</v>
      </c>
      <c r="D12" s="2" t="s">
        <v>15</v>
      </c>
      <c r="E12" s="2" t="s">
        <v>23</v>
      </c>
      <c r="F12" s="2" t="s">
        <v>19</v>
      </c>
      <c r="G12" s="2">
        <v>4</v>
      </c>
      <c r="H12" s="4">
        <v>55</v>
      </c>
      <c r="I12" s="5">
        <v>0.15</v>
      </c>
      <c r="J12" s="4">
        <f t="shared" si="0"/>
        <v>187</v>
      </c>
      <c r="K12" s="4">
        <f>J12*(1-4%)</f>
        <v>179.51999999999998</v>
      </c>
    </row>
    <row r="13" spans="1:12" x14ac:dyDescent="0.5">
      <c r="A13" s="2">
        <v>10012</v>
      </c>
      <c r="B13" s="3">
        <v>45818</v>
      </c>
      <c r="C13" s="2" t="s">
        <v>10</v>
      </c>
      <c r="D13" s="2" t="s">
        <v>30</v>
      </c>
      <c r="E13" s="2" t="s">
        <v>16</v>
      </c>
      <c r="F13" s="2" t="s">
        <v>17</v>
      </c>
      <c r="G13" s="2">
        <v>9</v>
      </c>
      <c r="H13" s="4">
        <v>180</v>
      </c>
      <c r="I13" s="5">
        <v>0.15</v>
      </c>
      <c r="J13" s="4">
        <f t="shared" si="0"/>
        <v>1377</v>
      </c>
      <c r="K13" s="4">
        <f>J13*(1-4%)</f>
        <v>1321.9199999999998</v>
      </c>
    </row>
    <row r="14" spans="1:12" x14ac:dyDescent="0.5">
      <c r="A14" s="2">
        <v>10013</v>
      </c>
      <c r="B14" s="3">
        <v>45781</v>
      </c>
      <c r="C14" s="2" t="s">
        <v>14</v>
      </c>
      <c r="D14" s="2" t="s">
        <v>11</v>
      </c>
      <c r="E14" s="2" t="s">
        <v>23</v>
      </c>
      <c r="F14" s="2" t="s">
        <v>19</v>
      </c>
      <c r="G14" s="2">
        <v>11</v>
      </c>
      <c r="H14" s="4">
        <v>55</v>
      </c>
      <c r="I14" s="5">
        <v>0.15</v>
      </c>
      <c r="J14" s="4">
        <f t="shared" si="0"/>
        <v>514.25</v>
      </c>
      <c r="K14" s="4">
        <f>J14*(1-4%)</f>
        <v>493.68</v>
      </c>
    </row>
    <row r="15" spans="1:12" x14ac:dyDescent="0.5">
      <c r="A15" s="2">
        <v>10014</v>
      </c>
      <c r="B15" s="3">
        <v>45838</v>
      </c>
      <c r="C15" s="2" t="s">
        <v>27</v>
      </c>
      <c r="D15" s="2" t="s">
        <v>20</v>
      </c>
      <c r="E15" s="2" t="s">
        <v>18</v>
      </c>
      <c r="F15" s="2" t="s">
        <v>19</v>
      </c>
      <c r="G15" s="2">
        <v>4</v>
      </c>
      <c r="H15" s="4">
        <v>35</v>
      </c>
      <c r="I15" s="5">
        <v>0</v>
      </c>
      <c r="J15" s="4">
        <f t="shared" si="0"/>
        <v>140</v>
      </c>
      <c r="K15" s="4">
        <f>J15*(1-4%)</f>
        <v>134.4</v>
      </c>
    </row>
    <row r="16" spans="1:12" x14ac:dyDescent="0.5">
      <c r="A16" s="2">
        <v>10015</v>
      </c>
      <c r="B16" s="3">
        <v>45731</v>
      </c>
      <c r="C16" s="2" t="s">
        <v>27</v>
      </c>
      <c r="D16" s="2" t="s">
        <v>11</v>
      </c>
      <c r="E16" s="2" t="s">
        <v>25</v>
      </c>
      <c r="F16" s="2" t="s">
        <v>13</v>
      </c>
      <c r="G16" s="2">
        <v>10</v>
      </c>
      <c r="H16" s="4">
        <v>1850</v>
      </c>
      <c r="I16" s="5">
        <v>0.15</v>
      </c>
      <c r="J16" s="4">
        <f t="shared" si="0"/>
        <v>15725</v>
      </c>
      <c r="K16" s="4">
        <f>J16*(1-4%)</f>
        <v>15096</v>
      </c>
    </row>
    <row r="17" spans="1:11" x14ac:dyDescent="0.5">
      <c r="A17" s="2">
        <v>10016</v>
      </c>
      <c r="B17" s="3">
        <v>45830</v>
      </c>
      <c r="C17" s="2" t="s">
        <v>10</v>
      </c>
      <c r="D17" s="2" t="s">
        <v>29</v>
      </c>
      <c r="E17" s="2" t="s">
        <v>31</v>
      </c>
      <c r="F17" s="2" t="s">
        <v>19</v>
      </c>
      <c r="G17" s="2">
        <v>11</v>
      </c>
      <c r="H17" s="4">
        <v>120</v>
      </c>
      <c r="I17" s="5">
        <v>0.05</v>
      </c>
      <c r="J17" s="4">
        <f t="shared" si="0"/>
        <v>1254</v>
      </c>
      <c r="K17" s="4">
        <f>J17*(1-4%)</f>
        <v>1203.8399999999999</v>
      </c>
    </row>
    <row r="18" spans="1:11" x14ac:dyDescent="0.5">
      <c r="A18" s="2">
        <v>10017</v>
      </c>
      <c r="B18" s="3">
        <v>45698</v>
      </c>
      <c r="C18" s="2" t="s">
        <v>21</v>
      </c>
      <c r="D18" s="2" t="s">
        <v>20</v>
      </c>
      <c r="E18" s="2" t="s">
        <v>32</v>
      </c>
      <c r="F18" s="2" t="s">
        <v>13</v>
      </c>
      <c r="G18" s="2">
        <v>12</v>
      </c>
      <c r="H18" s="4">
        <v>320</v>
      </c>
      <c r="I18" s="5">
        <v>0.1</v>
      </c>
      <c r="J18" s="4">
        <f t="shared" si="0"/>
        <v>3456</v>
      </c>
      <c r="K18" s="4">
        <f>J18*(1-4%)</f>
        <v>3317.7599999999998</v>
      </c>
    </row>
    <row r="19" spans="1:11" x14ac:dyDescent="0.5">
      <c r="A19" s="2">
        <v>10018</v>
      </c>
      <c r="B19" s="3">
        <v>45755</v>
      </c>
      <c r="C19" s="2" t="s">
        <v>24</v>
      </c>
      <c r="D19" s="2" t="s">
        <v>33</v>
      </c>
      <c r="E19" s="2" t="s">
        <v>25</v>
      </c>
      <c r="F19" s="2" t="s">
        <v>13</v>
      </c>
      <c r="G19" s="2">
        <v>9</v>
      </c>
      <c r="H19" s="4">
        <v>1850</v>
      </c>
      <c r="I19" s="5">
        <v>0.05</v>
      </c>
      <c r="J19" s="4">
        <f t="shared" si="0"/>
        <v>15817.5</v>
      </c>
      <c r="K19" s="4">
        <f>J19*(1-4%)</f>
        <v>15184.8</v>
      </c>
    </row>
    <row r="20" spans="1:11" x14ac:dyDescent="0.5">
      <c r="A20" s="2">
        <v>10019</v>
      </c>
      <c r="B20" s="3">
        <v>45883</v>
      </c>
      <c r="C20" s="2" t="s">
        <v>21</v>
      </c>
      <c r="D20" s="2" t="s">
        <v>15</v>
      </c>
      <c r="E20" s="2" t="s">
        <v>25</v>
      </c>
      <c r="F20" s="2" t="s">
        <v>13</v>
      </c>
      <c r="G20" s="2">
        <v>11</v>
      </c>
      <c r="H20" s="4">
        <v>1850</v>
      </c>
      <c r="I20" s="5">
        <v>0</v>
      </c>
      <c r="J20" s="4">
        <f t="shared" si="0"/>
        <v>20350</v>
      </c>
      <c r="K20" s="4">
        <f>J20*(1-4%)</f>
        <v>19536</v>
      </c>
    </row>
    <row r="21" spans="1:11" x14ac:dyDescent="0.5">
      <c r="A21" s="2">
        <v>10020</v>
      </c>
      <c r="B21" s="3">
        <v>45761</v>
      </c>
      <c r="C21" s="2" t="s">
        <v>14</v>
      </c>
      <c r="D21" s="2" t="s">
        <v>33</v>
      </c>
      <c r="E21" s="2" t="s">
        <v>31</v>
      </c>
      <c r="F21" s="2" t="s">
        <v>19</v>
      </c>
      <c r="G21" s="2">
        <v>9</v>
      </c>
      <c r="H21" s="4">
        <v>120</v>
      </c>
      <c r="I21" s="5">
        <v>0</v>
      </c>
      <c r="J21" s="4">
        <f t="shared" si="0"/>
        <v>1080</v>
      </c>
      <c r="K21" s="4">
        <f>J21*(1-4%)</f>
        <v>1036.8</v>
      </c>
    </row>
    <row r="22" spans="1:11" x14ac:dyDescent="0.5">
      <c r="A22" s="2">
        <v>10021</v>
      </c>
      <c r="B22" s="3">
        <v>45837</v>
      </c>
      <c r="C22" s="2" t="s">
        <v>27</v>
      </c>
      <c r="D22" s="2" t="s">
        <v>22</v>
      </c>
      <c r="E22" s="2" t="s">
        <v>16</v>
      </c>
      <c r="F22" s="2" t="s">
        <v>17</v>
      </c>
      <c r="G22" s="2">
        <v>11</v>
      </c>
      <c r="H22" s="4">
        <v>180</v>
      </c>
      <c r="I22" s="5">
        <v>0.1</v>
      </c>
      <c r="J22" s="4">
        <f t="shared" si="0"/>
        <v>1782</v>
      </c>
      <c r="K22" s="4">
        <f>J22*(1-4%)</f>
        <v>1710.72</v>
      </c>
    </row>
    <row r="23" spans="1:11" x14ac:dyDescent="0.5">
      <c r="A23" s="2">
        <v>10022</v>
      </c>
      <c r="B23" s="3">
        <v>45691</v>
      </c>
      <c r="C23" s="2" t="s">
        <v>24</v>
      </c>
      <c r="D23" s="2" t="s">
        <v>29</v>
      </c>
      <c r="E23" s="2" t="s">
        <v>31</v>
      </c>
      <c r="F23" s="2" t="s">
        <v>19</v>
      </c>
      <c r="G23" s="2">
        <v>3</v>
      </c>
      <c r="H23" s="4">
        <v>120</v>
      </c>
      <c r="I23" s="5">
        <v>0.05</v>
      </c>
      <c r="J23" s="4">
        <f t="shared" si="0"/>
        <v>342</v>
      </c>
      <c r="K23" s="4">
        <f>J23*(1-4%)</f>
        <v>328.32</v>
      </c>
    </row>
    <row r="24" spans="1:11" x14ac:dyDescent="0.5">
      <c r="A24" s="2">
        <v>10023</v>
      </c>
      <c r="B24" s="3">
        <v>45911</v>
      </c>
      <c r="C24" s="2" t="s">
        <v>27</v>
      </c>
      <c r="D24" s="2" t="s">
        <v>11</v>
      </c>
      <c r="E24" s="2" t="s">
        <v>16</v>
      </c>
      <c r="F24" s="2" t="s">
        <v>17</v>
      </c>
      <c r="G24" s="2">
        <v>9</v>
      </c>
      <c r="H24" s="4">
        <v>180</v>
      </c>
      <c r="I24" s="5">
        <v>0</v>
      </c>
      <c r="J24" s="4">
        <f t="shared" si="0"/>
        <v>1620</v>
      </c>
      <c r="K24" s="4">
        <f>J24*(1-4%)</f>
        <v>1555.2</v>
      </c>
    </row>
    <row r="25" spans="1:11" x14ac:dyDescent="0.5">
      <c r="A25" s="2">
        <v>10024</v>
      </c>
      <c r="B25" s="3">
        <v>45702</v>
      </c>
      <c r="C25" s="2" t="s">
        <v>24</v>
      </c>
      <c r="D25" s="2" t="s">
        <v>22</v>
      </c>
      <c r="E25" s="2" t="s">
        <v>34</v>
      </c>
      <c r="F25" s="2" t="s">
        <v>19</v>
      </c>
      <c r="G25" s="2">
        <v>9</v>
      </c>
      <c r="H25" s="4">
        <v>95</v>
      </c>
      <c r="I25" s="5">
        <v>0.1</v>
      </c>
      <c r="J25" s="4">
        <f t="shared" si="0"/>
        <v>769.5</v>
      </c>
      <c r="K25" s="4">
        <f>J25*(1-4%)</f>
        <v>738.72</v>
      </c>
    </row>
    <row r="26" spans="1:11" x14ac:dyDescent="0.5">
      <c r="A26" s="2">
        <v>10025</v>
      </c>
      <c r="B26" s="3">
        <v>45788</v>
      </c>
      <c r="C26" s="2" t="s">
        <v>10</v>
      </c>
      <c r="D26" s="2" t="s">
        <v>33</v>
      </c>
      <c r="E26" s="2" t="s">
        <v>12</v>
      </c>
      <c r="F26" s="2" t="s">
        <v>13</v>
      </c>
      <c r="G26" s="2">
        <v>6</v>
      </c>
      <c r="H26" s="4">
        <v>1450</v>
      </c>
      <c r="I26" s="5">
        <v>0</v>
      </c>
      <c r="J26" s="4">
        <f t="shared" si="0"/>
        <v>8700</v>
      </c>
      <c r="K26" s="4">
        <f>J26*(1-4%)</f>
        <v>8352</v>
      </c>
    </row>
    <row r="27" spans="1:11" x14ac:dyDescent="0.5">
      <c r="A27" s="2">
        <v>10026</v>
      </c>
      <c r="B27" s="3">
        <v>45724</v>
      </c>
      <c r="C27" s="2" t="s">
        <v>21</v>
      </c>
      <c r="D27" s="2" t="s">
        <v>15</v>
      </c>
      <c r="E27" s="2" t="s">
        <v>16</v>
      </c>
      <c r="F27" s="2" t="s">
        <v>17</v>
      </c>
      <c r="G27" s="2">
        <v>2</v>
      </c>
      <c r="H27" s="4">
        <v>180</v>
      </c>
      <c r="I27" s="5">
        <v>0.15</v>
      </c>
      <c r="J27" s="4">
        <f t="shared" si="0"/>
        <v>306</v>
      </c>
      <c r="K27" s="4">
        <f>J27*(1-4%)</f>
        <v>293.76</v>
      </c>
    </row>
    <row r="28" spans="1:11" x14ac:dyDescent="0.5">
      <c r="A28" s="2">
        <v>10027</v>
      </c>
      <c r="B28" s="3">
        <v>45913</v>
      </c>
      <c r="C28" s="2" t="s">
        <v>21</v>
      </c>
      <c r="D28" s="2" t="s">
        <v>30</v>
      </c>
      <c r="E28" s="2" t="s">
        <v>16</v>
      </c>
      <c r="F28" s="2" t="s">
        <v>17</v>
      </c>
      <c r="G28" s="2">
        <v>3</v>
      </c>
      <c r="H28" s="4">
        <v>180</v>
      </c>
      <c r="I28" s="5">
        <v>0.15</v>
      </c>
      <c r="J28" s="4">
        <f t="shared" si="0"/>
        <v>459</v>
      </c>
      <c r="K28" s="4">
        <f>J28*(1-4%)</f>
        <v>440.64</v>
      </c>
    </row>
    <row r="29" spans="1:11" x14ac:dyDescent="0.5">
      <c r="A29" s="2">
        <v>10028</v>
      </c>
      <c r="B29" s="3">
        <v>45730</v>
      </c>
      <c r="C29" s="2" t="s">
        <v>14</v>
      </c>
      <c r="D29" s="2" t="s">
        <v>11</v>
      </c>
      <c r="E29" s="2" t="s">
        <v>35</v>
      </c>
      <c r="F29" s="2" t="s">
        <v>17</v>
      </c>
      <c r="G29" s="2">
        <v>7</v>
      </c>
      <c r="H29" s="4">
        <v>90</v>
      </c>
      <c r="I29" s="5">
        <v>0</v>
      </c>
      <c r="J29" s="4">
        <f t="shared" si="0"/>
        <v>630</v>
      </c>
      <c r="K29" s="4">
        <f>J29*(1-4%)</f>
        <v>604.79999999999995</v>
      </c>
    </row>
    <row r="30" spans="1:11" x14ac:dyDescent="0.5">
      <c r="A30" s="2">
        <v>10029</v>
      </c>
      <c r="B30" s="3">
        <v>45845</v>
      </c>
      <c r="C30" s="2" t="s">
        <v>27</v>
      </c>
      <c r="D30" s="2" t="s">
        <v>26</v>
      </c>
      <c r="E30" s="2" t="s">
        <v>31</v>
      </c>
      <c r="F30" s="2" t="s">
        <v>19</v>
      </c>
      <c r="G30" s="2">
        <v>11</v>
      </c>
      <c r="H30" s="4">
        <v>120</v>
      </c>
      <c r="I30" s="5">
        <v>0.15</v>
      </c>
      <c r="J30" s="4">
        <f t="shared" si="0"/>
        <v>1122</v>
      </c>
      <c r="K30" s="4">
        <f>J30*(1-4%)</f>
        <v>1077.1199999999999</v>
      </c>
    </row>
    <row r="31" spans="1:11" x14ac:dyDescent="0.5">
      <c r="A31" s="2">
        <v>10030</v>
      </c>
      <c r="B31" s="3">
        <v>45893</v>
      </c>
      <c r="C31" s="2" t="s">
        <v>10</v>
      </c>
      <c r="D31" s="2" t="s">
        <v>15</v>
      </c>
      <c r="E31" s="2" t="s">
        <v>36</v>
      </c>
      <c r="F31" s="2" t="s">
        <v>17</v>
      </c>
      <c r="G31" s="2">
        <v>2</v>
      </c>
      <c r="H31" s="4">
        <v>240</v>
      </c>
      <c r="I31" s="5">
        <v>0</v>
      </c>
      <c r="J31" s="4">
        <f t="shared" si="0"/>
        <v>480</v>
      </c>
      <c r="K31" s="4">
        <f>J31*(1-4%)</f>
        <v>460.79999999999995</v>
      </c>
    </row>
    <row r="32" spans="1:11" x14ac:dyDescent="0.5">
      <c r="A32" s="2">
        <v>10031</v>
      </c>
      <c r="B32" s="3">
        <v>45749</v>
      </c>
      <c r="C32" s="2" t="s">
        <v>24</v>
      </c>
      <c r="D32" s="2" t="s">
        <v>15</v>
      </c>
      <c r="E32" s="2" t="s">
        <v>25</v>
      </c>
      <c r="F32" s="2" t="s">
        <v>13</v>
      </c>
      <c r="G32" s="2">
        <v>10</v>
      </c>
      <c r="H32" s="4">
        <v>1850</v>
      </c>
      <c r="I32" s="5">
        <v>0</v>
      </c>
      <c r="J32" s="4">
        <f t="shared" si="0"/>
        <v>18500</v>
      </c>
      <c r="K32" s="4">
        <f>J32*(1-4%)</f>
        <v>17760</v>
      </c>
    </row>
    <row r="33" spans="1:11" x14ac:dyDescent="0.5">
      <c r="A33" s="2">
        <v>10032</v>
      </c>
      <c r="B33" s="3">
        <v>45844</v>
      </c>
      <c r="C33" s="2" t="s">
        <v>24</v>
      </c>
      <c r="D33" s="2" t="s">
        <v>22</v>
      </c>
      <c r="E33" s="2" t="s">
        <v>16</v>
      </c>
      <c r="F33" s="2" t="s">
        <v>17</v>
      </c>
      <c r="G33" s="2">
        <v>4</v>
      </c>
      <c r="H33" s="4">
        <v>180</v>
      </c>
      <c r="I33" s="5">
        <v>0</v>
      </c>
      <c r="J33" s="4">
        <f t="shared" si="0"/>
        <v>720</v>
      </c>
      <c r="K33" s="4">
        <f>J33*(1-4%)</f>
        <v>691.19999999999993</v>
      </c>
    </row>
    <row r="34" spans="1:11" x14ac:dyDescent="0.5">
      <c r="A34" s="2">
        <v>10033</v>
      </c>
      <c r="B34" s="3">
        <v>45681</v>
      </c>
      <c r="C34" s="2" t="s">
        <v>21</v>
      </c>
      <c r="D34" s="2" t="s">
        <v>11</v>
      </c>
      <c r="E34" s="2" t="s">
        <v>16</v>
      </c>
      <c r="F34" s="2" t="s">
        <v>17</v>
      </c>
      <c r="G34" s="2">
        <v>5</v>
      </c>
      <c r="H34" s="4">
        <v>180</v>
      </c>
      <c r="I34" s="5">
        <v>0.15</v>
      </c>
      <c r="J34" s="4">
        <f t="shared" ref="J34:J65" si="1">G34*H34*(1-I34)</f>
        <v>765</v>
      </c>
      <c r="K34" s="4">
        <f>J34*(1-4%)</f>
        <v>734.4</v>
      </c>
    </row>
    <row r="35" spans="1:11" x14ac:dyDescent="0.5">
      <c r="A35" s="2">
        <v>10034</v>
      </c>
      <c r="B35" s="3">
        <v>45801</v>
      </c>
      <c r="C35" s="2" t="s">
        <v>21</v>
      </c>
      <c r="D35" s="2" t="s">
        <v>11</v>
      </c>
      <c r="E35" s="2" t="s">
        <v>28</v>
      </c>
      <c r="F35" s="2" t="s">
        <v>13</v>
      </c>
      <c r="G35" s="2">
        <v>4</v>
      </c>
      <c r="H35" s="4">
        <v>210</v>
      </c>
      <c r="I35" s="5">
        <v>0.05</v>
      </c>
      <c r="J35" s="4">
        <f t="shared" si="1"/>
        <v>798</v>
      </c>
      <c r="K35" s="4">
        <f>J35*(1-4%)</f>
        <v>766.07999999999993</v>
      </c>
    </row>
    <row r="36" spans="1:11" x14ac:dyDescent="0.5">
      <c r="A36" s="2">
        <v>10035</v>
      </c>
      <c r="B36" s="3">
        <v>45687</v>
      </c>
      <c r="C36" s="2" t="s">
        <v>21</v>
      </c>
      <c r="D36" s="2" t="s">
        <v>26</v>
      </c>
      <c r="E36" s="2" t="s">
        <v>28</v>
      </c>
      <c r="F36" s="2" t="s">
        <v>13</v>
      </c>
      <c r="G36" s="2">
        <v>6</v>
      </c>
      <c r="H36" s="4">
        <v>210</v>
      </c>
      <c r="I36" s="5">
        <v>0.05</v>
      </c>
      <c r="J36" s="4">
        <f t="shared" si="1"/>
        <v>1197</v>
      </c>
      <c r="K36" s="4">
        <f>J36*(1-4%)</f>
        <v>1149.1199999999999</v>
      </c>
    </row>
    <row r="37" spans="1:11" x14ac:dyDescent="0.5">
      <c r="A37" s="2">
        <v>10036</v>
      </c>
      <c r="B37" s="3">
        <v>45884</v>
      </c>
      <c r="C37" s="2" t="s">
        <v>24</v>
      </c>
      <c r="D37" s="2" t="s">
        <v>33</v>
      </c>
      <c r="E37" s="2" t="s">
        <v>16</v>
      </c>
      <c r="F37" s="2" t="s">
        <v>17</v>
      </c>
      <c r="G37" s="2">
        <v>11</v>
      </c>
      <c r="H37" s="4">
        <v>180</v>
      </c>
      <c r="I37" s="5">
        <v>0.15</v>
      </c>
      <c r="J37" s="4">
        <f t="shared" si="1"/>
        <v>1683</v>
      </c>
      <c r="K37" s="4">
        <f>J37*(1-4%)</f>
        <v>1615.6799999999998</v>
      </c>
    </row>
    <row r="38" spans="1:11" x14ac:dyDescent="0.5">
      <c r="A38" s="2">
        <v>10037</v>
      </c>
      <c r="B38" s="3">
        <v>45766</v>
      </c>
      <c r="C38" s="2" t="s">
        <v>10</v>
      </c>
      <c r="D38" s="2" t="s">
        <v>11</v>
      </c>
      <c r="E38" s="2" t="s">
        <v>36</v>
      </c>
      <c r="F38" s="2" t="s">
        <v>17</v>
      </c>
      <c r="G38" s="2">
        <v>2</v>
      </c>
      <c r="H38" s="4">
        <v>240</v>
      </c>
      <c r="I38" s="5">
        <v>0</v>
      </c>
      <c r="J38" s="4">
        <f t="shared" si="1"/>
        <v>480</v>
      </c>
      <c r="K38" s="4">
        <f>J38*(1-4%)</f>
        <v>460.79999999999995</v>
      </c>
    </row>
    <row r="39" spans="1:11" x14ac:dyDescent="0.5">
      <c r="A39" s="2">
        <v>10038</v>
      </c>
      <c r="B39" s="3">
        <v>45800</v>
      </c>
      <c r="C39" s="2" t="s">
        <v>27</v>
      </c>
      <c r="D39" s="2" t="s">
        <v>26</v>
      </c>
      <c r="E39" s="2" t="s">
        <v>34</v>
      </c>
      <c r="F39" s="2" t="s">
        <v>19</v>
      </c>
      <c r="G39" s="2">
        <v>7</v>
      </c>
      <c r="H39" s="4">
        <v>95</v>
      </c>
      <c r="I39" s="5">
        <v>0</v>
      </c>
      <c r="J39" s="4">
        <f t="shared" si="1"/>
        <v>665</v>
      </c>
      <c r="K39" s="4">
        <f>J39*(1-4%)</f>
        <v>638.4</v>
      </c>
    </row>
    <row r="40" spans="1:11" x14ac:dyDescent="0.5">
      <c r="A40" s="2">
        <v>10039</v>
      </c>
      <c r="B40" s="3">
        <v>45726</v>
      </c>
      <c r="C40" s="2" t="s">
        <v>24</v>
      </c>
      <c r="D40" s="2" t="s">
        <v>33</v>
      </c>
      <c r="E40" s="2" t="s">
        <v>28</v>
      </c>
      <c r="F40" s="2" t="s">
        <v>13</v>
      </c>
      <c r="G40" s="2">
        <v>9</v>
      </c>
      <c r="H40" s="4">
        <v>210</v>
      </c>
      <c r="I40" s="5">
        <v>0</v>
      </c>
      <c r="J40" s="4">
        <f t="shared" si="1"/>
        <v>1890</v>
      </c>
      <c r="K40" s="4">
        <f>J40*(1-4%)</f>
        <v>1814.3999999999999</v>
      </c>
    </row>
    <row r="41" spans="1:11" x14ac:dyDescent="0.5">
      <c r="A41" s="2">
        <v>10040</v>
      </c>
      <c r="B41" s="3">
        <v>45911</v>
      </c>
      <c r="C41" s="2" t="s">
        <v>21</v>
      </c>
      <c r="D41" s="2" t="s">
        <v>26</v>
      </c>
      <c r="E41" s="2" t="s">
        <v>25</v>
      </c>
      <c r="F41" s="2" t="s">
        <v>13</v>
      </c>
      <c r="G41" s="2">
        <v>3</v>
      </c>
      <c r="H41" s="4">
        <v>1850</v>
      </c>
      <c r="I41" s="5">
        <v>0.05</v>
      </c>
      <c r="J41" s="4">
        <f t="shared" si="1"/>
        <v>5272.5</v>
      </c>
      <c r="K41" s="4">
        <f>J41*(1-4%)</f>
        <v>5061.5999999999995</v>
      </c>
    </row>
    <row r="42" spans="1:11" x14ac:dyDescent="0.5">
      <c r="A42" s="2">
        <v>10041</v>
      </c>
      <c r="B42" s="3">
        <v>45717</v>
      </c>
      <c r="C42" s="2" t="s">
        <v>24</v>
      </c>
      <c r="D42" s="2" t="s">
        <v>20</v>
      </c>
      <c r="E42" s="2" t="s">
        <v>18</v>
      </c>
      <c r="F42" s="2" t="s">
        <v>19</v>
      </c>
      <c r="G42" s="2">
        <v>3</v>
      </c>
      <c r="H42" s="4">
        <v>35</v>
      </c>
      <c r="I42" s="5">
        <v>0.05</v>
      </c>
      <c r="J42" s="4">
        <f t="shared" si="1"/>
        <v>99.75</v>
      </c>
      <c r="K42" s="4">
        <f>J42*(1-4%)</f>
        <v>95.759999999999991</v>
      </c>
    </row>
    <row r="43" spans="1:11" x14ac:dyDescent="0.5">
      <c r="A43" s="2">
        <v>10042</v>
      </c>
      <c r="B43" s="3">
        <v>45730</v>
      </c>
      <c r="C43" s="2" t="s">
        <v>14</v>
      </c>
      <c r="D43" s="2" t="s">
        <v>26</v>
      </c>
      <c r="E43" s="2" t="s">
        <v>23</v>
      </c>
      <c r="F43" s="2" t="s">
        <v>19</v>
      </c>
      <c r="G43" s="2">
        <v>7</v>
      </c>
      <c r="H43" s="4">
        <v>55</v>
      </c>
      <c r="I43" s="5">
        <v>0.15</v>
      </c>
      <c r="J43" s="4">
        <f t="shared" si="1"/>
        <v>327.25</v>
      </c>
      <c r="K43" s="4">
        <f>J43*(1-4%)</f>
        <v>314.15999999999997</v>
      </c>
    </row>
    <row r="44" spans="1:11" x14ac:dyDescent="0.5">
      <c r="A44" s="2">
        <v>10043</v>
      </c>
      <c r="B44" s="3">
        <v>45702</v>
      </c>
      <c r="C44" s="2" t="s">
        <v>14</v>
      </c>
      <c r="D44" s="2" t="s">
        <v>33</v>
      </c>
      <c r="E44" s="2" t="s">
        <v>32</v>
      </c>
      <c r="F44" s="2" t="s">
        <v>13</v>
      </c>
      <c r="G44" s="2">
        <v>4</v>
      </c>
      <c r="H44" s="4">
        <v>320</v>
      </c>
      <c r="I44" s="5">
        <v>0</v>
      </c>
      <c r="J44" s="4">
        <f t="shared" si="1"/>
        <v>1280</v>
      </c>
      <c r="K44" s="4">
        <f>J44*(1-4%)</f>
        <v>1228.8</v>
      </c>
    </row>
    <row r="45" spans="1:11" x14ac:dyDescent="0.5">
      <c r="A45" s="2">
        <v>10044</v>
      </c>
      <c r="B45" s="3">
        <v>45854</v>
      </c>
      <c r="C45" s="2" t="s">
        <v>21</v>
      </c>
      <c r="D45" s="2" t="s">
        <v>30</v>
      </c>
      <c r="E45" s="2" t="s">
        <v>18</v>
      </c>
      <c r="F45" s="2" t="s">
        <v>19</v>
      </c>
      <c r="G45" s="2">
        <v>1</v>
      </c>
      <c r="H45" s="4">
        <v>35</v>
      </c>
      <c r="I45" s="5">
        <v>0.1</v>
      </c>
      <c r="J45" s="4">
        <f t="shared" si="1"/>
        <v>31.5</v>
      </c>
      <c r="K45" s="4">
        <f>J45*(1-4%)</f>
        <v>30.24</v>
      </c>
    </row>
    <row r="46" spans="1:11" x14ac:dyDescent="0.5">
      <c r="A46" s="2">
        <v>10045</v>
      </c>
      <c r="B46" s="3">
        <v>45677</v>
      </c>
      <c r="C46" s="2" t="s">
        <v>14</v>
      </c>
      <c r="D46" s="2" t="s">
        <v>15</v>
      </c>
      <c r="E46" s="2" t="s">
        <v>16</v>
      </c>
      <c r="F46" s="2" t="s">
        <v>17</v>
      </c>
      <c r="G46" s="2">
        <v>3</v>
      </c>
      <c r="H46" s="4">
        <v>180</v>
      </c>
      <c r="I46" s="5">
        <v>0</v>
      </c>
      <c r="J46" s="4">
        <f t="shared" si="1"/>
        <v>540</v>
      </c>
      <c r="K46" s="4">
        <f>J46*(1-4%)</f>
        <v>518.4</v>
      </c>
    </row>
    <row r="47" spans="1:11" x14ac:dyDescent="0.5">
      <c r="A47" s="2">
        <v>10046</v>
      </c>
      <c r="B47" s="3">
        <v>45835</v>
      </c>
      <c r="C47" s="2" t="s">
        <v>10</v>
      </c>
      <c r="D47" s="2" t="s">
        <v>33</v>
      </c>
      <c r="E47" s="2" t="s">
        <v>28</v>
      </c>
      <c r="F47" s="2" t="s">
        <v>13</v>
      </c>
      <c r="G47" s="2">
        <v>2</v>
      </c>
      <c r="H47" s="4">
        <v>210</v>
      </c>
      <c r="I47" s="5">
        <v>0.1</v>
      </c>
      <c r="J47" s="4">
        <f t="shared" si="1"/>
        <v>378</v>
      </c>
      <c r="K47" s="4">
        <f>J47*(1-4%)</f>
        <v>362.88</v>
      </c>
    </row>
    <row r="48" spans="1:11" x14ac:dyDescent="0.5">
      <c r="A48" s="2">
        <v>10047</v>
      </c>
      <c r="B48" s="3">
        <v>45821</v>
      </c>
      <c r="C48" s="2" t="s">
        <v>14</v>
      </c>
      <c r="D48" s="2" t="s">
        <v>22</v>
      </c>
      <c r="E48" s="2" t="s">
        <v>28</v>
      </c>
      <c r="F48" s="2" t="s">
        <v>13</v>
      </c>
      <c r="G48" s="2">
        <v>11</v>
      </c>
      <c r="H48" s="4">
        <v>210</v>
      </c>
      <c r="I48" s="5">
        <v>0.1</v>
      </c>
      <c r="J48" s="4">
        <f t="shared" si="1"/>
        <v>2079</v>
      </c>
      <c r="K48" s="4">
        <f>J48*(1-4%)</f>
        <v>1995.84</v>
      </c>
    </row>
    <row r="49" spans="1:11" x14ac:dyDescent="0.5">
      <c r="A49" s="2">
        <v>10048</v>
      </c>
      <c r="B49" s="3">
        <v>45902</v>
      </c>
      <c r="C49" s="2" t="s">
        <v>27</v>
      </c>
      <c r="D49" s="2" t="s">
        <v>11</v>
      </c>
      <c r="E49" s="2" t="s">
        <v>34</v>
      </c>
      <c r="F49" s="2" t="s">
        <v>19</v>
      </c>
      <c r="G49" s="2">
        <v>11</v>
      </c>
      <c r="H49" s="4">
        <v>95</v>
      </c>
      <c r="I49" s="5">
        <v>0.15</v>
      </c>
      <c r="J49" s="4">
        <f t="shared" si="1"/>
        <v>888.25</v>
      </c>
      <c r="K49" s="4">
        <f>J49*(1-4%)</f>
        <v>852.71999999999991</v>
      </c>
    </row>
    <row r="50" spans="1:11" x14ac:dyDescent="0.5">
      <c r="A50" s="2">
        <v>10049</v>
      </c>
      <c r="B50" s="3">
        <v>45730</v>
      </c>
      <c r="C50" s="2" t="s">
        <v>27</v>
      </c>
      <c r="D50" s="2" t="s">
        <v>26</v>
      </c>
      <c r="E50" s="2" t="s">
        <v>34</v>
      </c>
      <c r="F50" s="2" t="s">
        <v>19</v>
      </c>
      <c r="G50" s="2">
        <v>11</v>
      </c>
      <c r="H50" s="4">
        <v>95</v>
      </c>
      <c r="I50" s="5">
        <v>0.15</v>
      </c>
      <c r="J50" s="4">
        <f t="shared" si="1"/>
        <v>888.25</v>
      </c>
      <c r="K50" s="4">
        <f>J50*(1-4%)</f>
        <v>852.71999999999991</v>
      </c>
    </row>
    <row r="51" spans="1:11" x14ac:dyDescent="0.5">
      <c r="A51" s="2">
        <v>10050</v>
      </c>
      <c r="B51" s="3">
        <v>45743</v>
      </c>
      <c r="C51" s="2" t="s">
        <v>14</v>
      </c>
      <c r="D51" s="2" t="s">
        <v>15</v>
      </c>
      <c r="E51" s="2" t="s">
        <v>12</v>
      </c>
      <c r="F51" s="2" t="s">
        <v>13</v>
      </c>
      <c r="G51" s="2">
        <v>8</v>
      </c>
      <c r="H51" s="4">
        <v>1450</v>
      </c>
      <c r="I51" s="5">
        <v>0.1</v>
      </c>
      <c r="J51" s="4">
        <f t="shared" si="1"/>
        <v>10440</v>
      </c>
      <c r="K51" s="4">
        <f>J51*(1-4%)</f>
        <v>10022.4</v>
      </c>
    </row>
    <row r="52" spans="1:11" x14ac:dyDescent="0.5">
      <c r="A52" s="2">
        <v>10051</v>
      </c>
      <c r="B52" s="3">
        <v>45681</v>
      </c>
      <c r="C52" s="2" t="s">
        <v>10</v>
      </c>
      <c r="D52" s="2" t="s">
        <v>22</v>
      </c>
      <c r="E52" s="2" t="s">
        <v>16</v>
      </c>
      <c r="F52" s="2" t="s">
        <v>17</v>
      </c>
      <c r="G52" s="2">
        <v>9</v>
      </c>
      <c r="H52" s="4">
        <v>180</v>
      </c>
      <c r="I52" s="5">
        <v>0</v>
      </c>
      <c r="J52" s="4">
        <f t="shared" si="1"/>
        <v>1620</v>
      </c>
      <c r="K52" s="4">
        <f>J52*(1-4%)</f>
        <v>1555.2</v>
      </c>
    </row>
    <row r="53" spans="1:11" x14ac:dyDescent="0.5">
      <c r="A53" s="2">
        <v>10052</v>
      </c>
      <c r="B53" s="3">
        <v>45888</v>
      </c>
      <c r="C53" s="2" t="s">
        <v>10</v>
      </c>
      <c r="D53" s="2" t="s">
        <v>26</v>
      </c>
      <c r="E53" s="2" t="s">
        <v>25</v>
      </c>
      <c r="F53" s="2" t="s">
        <v>13</v>
      </c>
      <c r="G53" s="2">
        <v>6</v>
      </c>
      <c r="H53" s="4">
        <v>1850</v>
      </c>
      <c r="I53" s="5">
        <v>0</v>
      </c>
      <c r="J53" s="4">
        <f t="shared" si="1"/>
        <v>11100</v>
      </c>
      <c r="K53" s="4">
        <f>J53*(1-4%)</f>
        <v>10656</v>
      </c>
    </row>
    <row r="54" spans="1:11" x14ac:dyDescent="0.5">
      <c r="A54" s="2">
        <v>10053</v>
      </c>
      <c r="B54" s="3">
        <v>45876</v>
      </c>
      <c r="C54" s="2" t="s">
        <v>14</v>
      </c>
      <c r="D54" s="2" t="s">
        <v>33</v>
      </c>
      <c r="E54" s="2" t="s">
        <v>35</v>
      </c>
      <c r="F54" s="2" t="s">
        <v>17</v>
      </c>
      <c r="G54" s="2">
        <v>5</v>
      </c>
      <c r="H54" s="4">
        <v>90</v>
      </c>
      <c r="I54" s="5">
        <v>0.1</v>
      </c>
      <c r="J54" s="4">
        <f t="shared" si="1"/>
        <v>405</v>
      </c>
      <c r="K54" s="4">
        <f>J54*(1-4%)</f>
        <v>388.8</v>
      </c>
    </row>
    <row r="55" spans="1:11" x14ac:dyDescent="0.5">
      <c r="A55" s="2">
        <v>10054</v>
      </c>
      <c r="B55" s="3">
        <v>45833</v>
      </c>
      <c r="C55" s="2" t="s">
        <v>10</v>
      </c>
      <c r="D55" s="2" t="s">
        <v>29</v>
      </c>
      <c r="E55" s="2" t="s">
        <v>36</v>
      </c>
      <c r="F55" s="2" t="s">
        <v>17</v>
      </c>
      <c r="G55" s="2">
        <v>11</v>
      </c>
      <c r="H55" s="4">
        <v>240</v>
      </c>
      <c r="I55" s="5">
        <v>0</v>
      </c>
      <c r="J55" s="4">
        <f t="shared" si="1"/>
        <v>2640</v>
      </c>
      <c r="K55" s="4">
        <f>J55*(1-4%)</f>
        <v>2534.4</v>
      </c>
    </row>
    <row r="56" spans="1:11" x14ac:dyDescent="0.5">
      <c r="A56" s="2">
        <v>10055</v>
      </c>
      <c r="B56" s="3">
        <v>45692</v>
      </c>
      <c r="C56" s="2" t="s">
        <v>14</v>
      </c>
      <c r="D56" s="2" t="s">
        <v>11</v>
      </c>
      <c r="E56" s="2" t="s">
        <v>25</v>
      </c>
      <c r="F56" s="2" t="s">
        <v>13</v>
      </c>
      <c r="G56" s="2">
        <v>5</v>
      </c>
      <c r="H56" s="4">
        <v>1850</v>
      </c>
      <c r="I56" s="5">
        <v>0</v>
      </c>
      <c r="J56" s="4">
        <f t="shared" si="1"/>
        <v>9250</v>
      </c>
      <c r="K56" s="4">
        <f>J56*(1-4%)</f>
        <v>8880</v>
      </c>
    </row>
    <row r="57" spans="1:11" x14ac:dyDescent="0.5">
      <c r="A57" s="2">
        <v>10056</v>
      </c>
      <c r="B57" s="3">
        <v>45846</v>
      </c>
      <c r="C57" s="2" t="s">
        <v>27</v>
      </c>
      <c r="D57" s="2" t="s">
        <v>26</v>
      </c>
      <c r="E57" s="2" t="s">
        <v>34</v>
      </c>
      <c r="F57" s="2" t="s">
        <v>19</v>
      </c>
      <c r="G57" s="2">
        <v>11</v>
      </c>
      <c r="H57" s="4">
        <v>95</v>
      </c>
      <c r="I57" s="5">
        <v>0.15</v>
      </c>
      <c r="J57" s="4">
        <f t="shared" si="1"/>
        <v>888.25</v>
      </c>
      <c r="K57" s="4">
        <f>J57*(1-4%)</f>
        <v>852.71999999999991</v>
      </c>
    </row>
    <row r="58" spans="1:11" x14ac:dyDescent="0.5">
      <c r="A58" s="2">
        <v>10057</v>
      </c>
      <c r="B58" s="3">
        <v>45727</v>
      </c>
      <c r="C58" s="2" t="s">
        <v>27</v>
      </c>
      <c r="D58" s="2" t="s">
        <v>33</v>
      </c>
      <c r="E58" s="2" t="s">
        <v>12</v>
      </c>
      <c r="F58" s="2" t="s">
        <v>13</v>
      </c>
      <c r="G58" s="2">
        <v>11</v>
      </c>
      <c r="H58" s="4">
        <v>1450</v>
      </c>
      <c r="I58" s="5">
        <v>0.05</v>
      </c>
      <c r="J58" s="4">
        <f t="shared" si="1"/>
        <v>15152.5</v>
      </c>
      <c r="K58" s="4">
        <f>J58*(1-4%)</f>
        <v>14546.4</v>
      </c>
    </row>
    <row r="59" spans="1:11" x14ac:dyDescent="0.5">
      <c r="A59" s="2">
        <v>10058</v>
      </c>
      <c r="B59" s="3">
        <v>45663</v>
      </c>
      <c r="C59" s="2" t="s">
        <v>10</v>
      </c>
      <c r="D59" s="2" t="s">
        <v>26</v>
      </c>
      <c r="E59" s="2" t="s">
        <v>34</v>
      </c>
      <c r="F59" s="2" t="s">
        <v>19</v>
      </c>
      <c r="G59" s="2">
        <v>11</v>
      </c>
      <c r="H59" s="4">
        <v>95</v>
      </c>
      <c r="I59" s="5">
        <v>0</v>
      </c>
      <c r="J59" s="4">
        <f t="shared" si="1"/>
        <v>1045</v>
      </c>
      <c r="K59" s="4">
        <f>J59*(1-4%)</f>
        <v>1003.1999999999999</v>
      </c>
    </row>
    <row r="60" spans="1:11" x14ac:dyDescent="0.5">
      <c r="A60" s="2">
        <v>10059</v>
      </c>
      <c r="B60" s="3">
        <v>45804</v>
      </c>
      <c r="C60" s="2" t="s">
        <v>24</v>
      </c>
      <c r="D60" s="2" t="s">
        <v>15</v>
      </c>
      <c r="E60" s="2" t="s">
        <v>36</v>
      </c>
      <c r="F60" s="2" t="s">
        <v>17</v>
      </c>
      <c r="G60" s="2">
        <v>9</v>
      </c>
      <c r="H60" s="4">
        <v>240</v>
      </c>
      <c r="I60" s="5">
        <v>0</v>
      </c>
      <c r="J60" s="4">
        <f t="shared" si="1"/>
        <v>2160</v>
      </c>
      <c r="K60" s="4">
        <f>J60*(1-4%)</f>
        <v>2073.6</v>
      </c>
    </row>
    <row r="61" spans="1:11" x14ac:dyDescent="0.5">
      <c r="A61" s="2">
        <v>10060</v>
      </c>
      <c r="B61" s="3">
        <v>45904</v>
      </c>
      <c r="C61" s="2" t="s">
        <v>27</v>
      </c>
      <c r="D61" s="2" t="s">
        <v>30</v>
      </c>
      <c r="E61" s="2" t="s">
        <v>16</v>
      </c>
      <c r="F61" s="2" t="s">
        <v>17</v>
      </c>
      <c r="G61" s="2">
        <v>9</v>
      </c>
      <c r="H61" s="4">
        <v>180</v>
      </c>
      <c r="I61" s="5">
        <v>0</v>
      </c>
      <c r="J61" s="4">
        <f t="shared" si="1"/>
        <v>1620</v>
      </c>
      <c r="K61" s="4">
        <f>J61*(1-4%)</f>
        <v>1555.2</v>
      </c>
    </row>
    <row r="62" spans="1:11" x14ac:dyDescent="0.5">
      <c r="A62" s="2">
        <v>10061</v>
      </c>
      <c r="B62" s="3">
        <v>45773</v>
      </c>
      <c r="C62" s="2" t="s">
        <v>24</v>
      </c>
      <c r="D62" s="2" t="s">
        <v>22</v>
      </c>
      <c r="E62" s="2" t="s">
        <v>12</v>
      </c>
      <c r="F62" s="2" t="s">
        <v>13</v>
      </c>
      <c r="G62" s="2">
        <v>5</v>
      </c>
      <c r="H62" s="4">
        <v>1450</v>
      </c>
      <c r="I62" s="5">
        <v>0</v>
      </c>
      <c r="J62" s="4">
        <f t="shared" si="1"/>
        <v>7250</v>
      </c>
      <c r="K62" s="4">
        <f>J62*(1-4%)</f>
        <v>6960</v>
      </c>
    </row>
    <row r="63" spans="1:11" x14ac:dyDescent="0.5">
      <c r="A63" s="2">
        <v>10062</v>
      </c>
      <c r="B63" s="3">
        <v>45716</v>
      </c>
      <c r="C63" s="2" t="s">
        <v>27</v>
      </c>
      <c r="D63" s="2" t="s">
        <v>20</v>
      </c>
      <c r="E63" s="2" t="s">
        <v>16</v>
      </c>
      <c r="F63" s="2" t="s">
        <v>17</v>
      </c>
      <c r="G63" s="2">
        <v>11</v>
      </c>
      <c r="H63" s="4">
        <v>180</v>
      </c>
      <c r="I63" s="5">
        <v>0</v>
      </c>
      <c r="J63" s="4">
        <f t="shared" si="1"/>
        <v>1980</v>
      </c>
      <c r="K63" s="4">
        <f>J63*(1-4%)</f>
        <v>1900.8</v>
      </c>
    </row>
    <row r="64" spans="1:11" x14ac:dyDescent="0.5">
      <c r="A64" s="2">
        <v>10063</v>
      </c>
      <c r="B64" s="3">
        <v>45912</v>
      </c>
      <c r="C64" s="2" t="s">
        <v>10</v>
      </c>
      <c r="D64" s="2" t="s">
        <v>30</v>
      </c>
      <c r="E64" s="2" t="s">
        <v>35</v>
      </c>
      <c r="F64" s="2" t="s">
        <v>17</v>
      </c>
      <c r="G64" s="2">
        <v>3</v>
      </c>
      <c r="H64" s="4">
        <v>90</v>
      </c>
      <c r="I64" s="5">
        <v>0</v>
      </c>
      <c r="J64" s="4">
        <f t="shared" si="1"/>
        <v>270</v>
      </c>
      <c r="K64" s="4">
        <f>J64*(1-4%)</f>
        <v>259.2</v>
      </c>
    </row>
    <row r="65" spans="1:11" x14ac:dyDescent="0.5">
      <c r="A65" s="2">
        <v>10064</v>
      </c>
      <c r="B65" s="3">
        <v>45888</v>
      </c>
      <c r="C65" s="2" t="s">
        <v>27</v>
      </c>
      <c r="D65" s="2" t="s">
        <v>20</v>
      </c>
      <c r="E65" s="2" t="s">
        <v>18</v>
      </c>
      <c r="F65" s="2" t="s">
        <v>19</v>
      </c>
      <c r="G65" s="2">
        <v>3</v>
      </c>
      <c r="H65" s="4">
        <v>35</v>
      </c>
      <c r="I65" s="5">
        <v>0.15</v>
      </c>
      <c r="J65" s="4">
        <f t="shared" si="1"/>
        <v>89.25</v>
      </c>
      <c r="K65" s="4">
        <f>J65*(1-4%)</f>
        <v>85.679999999999993</v>
      </c>
    </row>
    <row r="66" spans="1:11" x14ac:dyDescent="0.5">
      <c r="A66" s="2">
        <v>10065</v>
      </c>
      <c r="B66" s="3">
        <v>45868</v>
      </c>
      <c r="C66" s="2" t="s">
        <v>10</v>
      </c>
      <c r="D66" s="2" t="s">
        <v>15</v>
      </c>
      <c r="E66" s="2" t="s">
        <v>35</v>
      </c>
      <c r="F66" s="2" t="s">
        <v>17</v>
      </c>
      <c r="G66" s="2">
        <v>4</v>
      </c>
      <c r="H66" s="4">
        <v>90</v>
      </c>
      <c r="I66" s="5">
        <v>0</v>
      </c>
      <c r="J66" s="4">
        <f t="shared" ref="J66:J97" si="2">G66*H66*(1-I66)</f>
        <v>360</v>
      </c>
      <c r="K66" s="4">
        <f>J66*(1-4%)</f>
        <v>345.59999999999997</v>
      </c>
    </row>
    <row r="67" spans="1:11" x14ac:dyDescent="0.5">
      <c r="A67" s="2">
        <v>10066</v>
      </c>
      <c r="B67" s="3">
        <v>45760</v>
      </c>
      <c r="C67" s="2" t="s">
        <v>21</v>
      </c>
      <c r="D67" s="2" t="s">
        <v>22</v>
      </c>
      <c r="E67" s="2" t="s">
        <v>28</v>
      </c>
      <c r="F67" s="2" t="s">
        <v>13</v>
      </c>
      <c r="G67" s="2">
        <v>4</v>
      </c>
      <c r="H67" s="4">
        <v>210</v>
      </c>
      <c r="I67" s="5">
        <v>0</v>
      </c>
      <c r="J67" s="4">
        <f t="shared" si="2"/>
        <v>840</v>
      </c>
      <c r="K67" s="4">
        <f>J67*(1-4%)</f>
        <v>806.4</v>
      </c>
    </row>
    <row r="68" spans="1:11" x14ac:dyDescent="0.5">
      <c r="A68" s="2">
        <v>10067</v>
      </c>
      <c r="B68" s="3">
        <v>45741</v>
      </c>
      <c r="C68" s="2" t="s">
        <v>10</v>
      </c>
      <c r="D68" s="2" t="s">
        <v>20</v>
      </c>
      <c r="E68" s="2" t="s">
        <v>25</v>
      </c>
      <c r="F68" s="2" t="s">
        <v>13</v>
      </c>
      <c r="G68" s="2">
        <v>1</v>
      </c>
      <c r="H68" s="4">
        <v>1850</v>
      </c>
      <c r="I68" s="5">
        <v>0.15</v>
      </c>
      <c r="J68" s="4">
        <f t="shared" si="2"/>
        <v>1572.5</v>
      </c>
      <c r="K68" s="4">
        <f>J68*(1-4%)</f>
        <v>1509.6</v>
      </c>
    </row>
    <row r="69" spans="1:11" x14ac:dyDescent="0.5">
      <c r="A69" s="2">
        <v>10068</v>
      </c>
      <c r="B69" s="3">
        <v>45747</v>
      </c>
      <c r="C69" s="2" t="s">
        <v>14</v>
      </c>
      <c r="D69" s="2" t="s">
        <v>20</v>
      </c>
      <c r="E69" s="2" t="s">
        <v>18</v>
      </c>
      <c r="F69" s="2" t="s">
        <v>19</v>
      </c>
      <c r="G69" s="2">
        <v>5</v>
      </c>
      <c r="H69" s="4">
        <v>35</v>
      </c>
      <c r="I69" s="5">
        <v>0</v>
      </c>
      <c r="J69" s="4">
        <f t="shared" si="2"/>
        <v>175</v>
      </c>
      <c r="K69" s="4">
        <f>J69*(1-4%)</f>
        <v>168</v>
      </c>
    </row>
    <row r="70" spans="1:11" x14ac:dyDescent="0.5">
      <c r="A70" s="2">
        <v>10069</v>
      </c>
      <c r="B70" s="3">
        <v>45836</v>
      </c>
      <c r="C70" s="2" t="s">
        <v>27</v>
      </c>
      <c r="D70" s="2" t="s">
        <v>30</v>
      </c>
      <c r="E70" s="2" t="s">
        <v>36</v>
      </c>
      <c r="F70" s="2" t="s">
        <v>17</v>
      </c>
      <c r="G70" s="2">
        <v>1</v>
      </c>
      <c r="H70" s="4">
        <v>240</v>
      </c>
      <c r="I70" s="5">
        <v>0</v>
      </c>
      <c r="J70" s="4">
        <f t="shared" si="2"/>
        <v>240</v>
      </c>
      <c r="K70" s="4">
        <f>J70*(1-4%)</f>
        <v>230.39999999999998</v>
      </c>
    </row>
    <row r="71" spans="1:11" x14ac:dyDescent="0.5">
      <c r="A71" s="2">
        <v>10070</v>
      </c>
      <c r="B71" s="3">
        <v>45811</v>
      </c>
      <c r="C71" s="2" t="s">
        <v>21</v>
      </c>
      <c r="D71" s="2" t="s">
        <v>22</v>
      </c>
      <c r="E71" s="2" t="s">
        <v>18</v>
      </c>
      <c r="F71" s="2" t="s">
        <v>19</v>
      </c>
      <c r="G71" s="2">
        <v>2</v>
      </c>
      <c r="H71" s="4">
        <v>35</v>
      </c>
      <c r="I71" s="5">
        <v>0.1</v>
      </c>
      <c r="J71" s="4">
        <f t="shared" si="2"/>
        <v>63</v>
      </c>
      <c r="K71" s="4">
        <f>J71*(1-4%)</f>
        <v>60.48</v>
      </c>
    </row>
    <row r="72" spans="1:11" x14ac:dyDescent="0.5">
      <c r="A72" s="2">
        <v>10071</v>
      </c>
      <c r="B72" s="3">
        <v>45849</v>
      </c>
      <c r="C72" s="2" t="s">
        <v>24</v>
      </c>
      <c r="D72" s="2" t="s">
        <v>20</v>
      </c>
      <c r="E72" s="2" t="s">
        <v>31</v>
      </c>
      <c r="F72" s="2" t="s">
        <v>19</v>
      </c>
      <c r="G72" s="2">
        <v>10</v>
      </c>
      <c r="H72" s="4">
        <v>120</v>
      </c>
      <c r="I72" s="5">
        <v>0.1</v>
      </c>
      <c r="J72" s="4">
        <f t="shared" si="2"/>
        <v>1080</v>
      </c>
      <c r="K72" s="4">
        <f>J72*(1-4%)</f>
        <v>1036.8</v>
      </c>
    </row>
    <row r="73" spans="1:11" x14ac:dyDescent="0.5">
      <c r="A73" s="2">
        <v>10072</v>
      </c>
      <c r="B73" s="3">
        <v>45893</v>
      </c>
      <c r="C73" s="2" t="s">
        <v>21</v>
      </c>
      <c r="D73" s="2" t="s">
        <v>33</v>
      </c>
      <c r="E73" s="2" t="s">
        <v>16</v>
      </c>
      <c r="F73" s="2" t="s">
        <v>17</v>
      </c>
      <c r="G73" s="2">
        <v>5</v>
      </c>
      <c r="H73" s="4">
        <v>180</v>
      </c>
      <c r="I73" s="5">
        <v>0</v>
      </c>
      <c r="J73" s="4">
        <f t="shared" si="2"/>
        <v>900</v>
      </c>
      <c r="K73" s="4">
        <f>J73*(1-4%)</f>
        <v>864</v>
      </c>
    </row>
    <row r="74" spans="1:11" x14ac:dyDescent="0.5">
      <c r="A74" s="2">
        <v>10073</v>
      </c>
      <c r="B74" s="3">
        <v>45796</v>
      </c>
      <c r="C74" s="2" t="s">
        <v>10</v>
      </c>
      <c r="D74" s="2" t="s">
        <v>22</v>
      </c>
      <c r="E74" s="2" t="s">
        <v>35</v>
      </c>
      <c r="F74" s="2" t="s">
        <v>17</v>
      </c>
      <c r="G74" s="2">
        <v>12</v>
      </c>
      <c r="H74" s="4">
        <v>90</v>
      </c>
      <c r="I74" s="5">
        <v>0.15</v>
      </c>
      <c r="J74" s="4">
        <f t="shared" si="2"/>
        <v>918</v>
      </c>
      <c r="K74" s="4">
        <f>J74*(1-4%)</f>
        <v>881.28</v>
      </c>
    </row>
    <row r="75" spans="1:11" x14ac:dyDescent="0.5">
      <c r="A75" s="2">
        <v>10074</v>
      </c>
      <c r="B75" s="3">
        <v>45773</v>
      </c>
      <c r="C75" s="2" t="s">
        <v>24</v>
      </c>
      <c r="D75" s="2" t="s">
        <v>29</v>
      </c>
      <c r="E75" s="2" t="s">
        <v>32</v>
      </c>
      <c r="F75" s="2" t="s">
        <v>13</v>
      </c>
      <c r="G75" s="2">
        <v>10</v>
      </c>
      <c r="H75" s="4">
        <v>320</v>
      </c>
      <c r="I75" s="5">
        <v>0</v>
      </c>
      <c r="J75" s="4">
        <f t="shared" si="2"/>
        <v>3200</v>
      </c>
      <c r="K75" s="4">
        <f>J75*(1-4%)</f>
        <v>3072</v>
      </c>
    </row>
    <row r="76" spans="1:11" x14ac:dyDescent="0.5">
      <c r="A76" s="2">
        <v>10075</v>
      </c>
      <c r="B76" s="3">
        <v>45792</v>
      </c>
      <c r="C76" s="2" t="s">
        <v>27</v>
      </c>
      <c r="D76" s="2" t="s">
        <v>30</v>
      </c>
      <c r="E76" s="2" t="s">
        <v>31</v>
      </c>
      <c r="F76" s="2" t="s">
        <v>19</v>
      </c>
      <c r="G76" s="2">
        <v>6</v>
      </c>
      <c r="H76" s="4">
        <v>120</v>
      </c>
      <c r="I76" s="5">
        <v>0.05</v>
      </c>
      <c r="J76" s="4">
        <f t="shared" si="2"/>
        <v>684</v>
      </c>
      <c r="K76" s="4">
        <f>J76*(1-4%)</f>
        <v>656.64</v>
      </c>
    </row>
    <row r="77" spans="1:11" x14ac:dyDescent="0.5">
      <c r="A77" s="2">
        <v>10076</v>
      </c>
      <c r="B77" s="3">
        <v>45712</v>
      </c>
      <c r="C77" s="2" t="s">
        <v>10</v>
      </c>
      <c r="D77" s="2" t="s">
        <v>29</v>
      </c>
      <c r="E77" s="2" t="s">
        <v>31</v>
      </c>
      <c r="F77" s="2" t="s">
        <v>19</v>
      </c>
      <c r="G77" s="2">
        <v>11</v>
      </c>
      <c r="H77" s="4">
        <v>120</v>
      </c>
      <c r="I77" s="5">
        <v>0.15</v>
      </c>
      <c r="J77" s="4">
        <f t="shared" si="2"/>
        <v>1122</v>
      </c>
      <c r="K77" s="4">
        <f>J77*(1-4%)</f>
        <v>1077.1199999999999</v>
      </c>
    </row>
    <row r="78" spans="1:11" x14ac:dyDescent="0.5">
      <c r="A78" s="2">
        <v>10077</v>
      </c>
      <c r="B78" s="3">
        <v>45766</v>
      </c>
      <c r="C78" s="2" t="s">
        <v>10</v>
      </c>
      <c r="D78" s="2" t="s">
        <v>20</v>
      </c>
      <c r="E78" s="2" t="s">
        <v>16</v>
      </c>
      <c r="F78" s="2" t="s">
        <v>17</v>
      </c>
      <c r="G78" s="2">
        <v>5</v>
      </c>
      <c r="H78" s="4">
        <v>180</v>
      </c>
      <c r="I78" s="5">
        <v>0</v>
      </c>
      <c r="J78" s="4">
        <f t="shared" si="2"/>
        <v>900</v>
      </c>
      <c r="K78" s="4">
        <f>J78*(1-4%)</f>
        <v>864</v>
      </c>
    </row>
    <row r="79" spans="1:11" x14ac:dyDescent="0.5">
      <c r="A79" s="2">
        <v>10078</v>
      </c>
      <c r="B79" s="3">
        <v>45864</v>
      </c>
      <c r="C79" s="2" t="s">
        <v>21</v>
      </c>
      <c r="D79" s="2" t="s">
        <v>26</v>
      </c>
      <c r="E79" s="2" t="s">
        <v>35</v>
      </c>
      <c r="F79" s="2" t="s">
        <v>17</v>
      </c>
      <c r="G79" s="2">
        <v>11</v>
      </c>
      <c r="H79" s="4">
        <v>90</v>
      </c>
      <c r="I79" s="5">
        <v>0</v>
      </c>
      <c r="J79" s="4">
        <f t="shared" si="2"/>
        <v>990</v>
      </c>
      <c r="K79" s="4">
        <f>J79*(1-4%)</f>
        <v>950.4</v>
      </c>
    </row>
    <row r="80" spans="1:11" x14ac:dyDescent="0.5">
      <c r="A80" s="2">
        <v>10079</v>
      </c>
      <c r="B80" s="3">
        <v>45776</v>
      </c>
      <c r="C80" s="2" t="s">
        <v>10</v>
      </c>
      <c r="D80" s="2" t="s">
        <v>15</v>
      </c>
      <c r="E80" s="2" t="s">
        <v>16</v>
      </c>
      <c r="F80" s="2" t="s">
        <v>17</v>
      </c>
      <c r="G80" s="2">
        <v>9</v>
      </c>
      <c r="H80" s="4">
        <v>180</v>
      </c>
      <c r="I80" s="5">
        <v>0.05</v>
      </c>
      <c r="J80" s="4">
        <f t="shared" si="2"/>
        <v>1539</v>
      </c>
      <c r="K80" s="4">
        <f>J80*(1-4%)</f>
        <v>1477.44</v>
      </c>
    </row>
    <row r="81" spans="1:11" x14ac:dyDescent="0.5">
      <c r="A81" s="2">
        <v>10080</v>
      </c>
      <c r="B81" s="3">
        <v>45735</v>
      </c>
      <c r="C81" s="2" t="s">
        <v>27</v>
      </c>
      <c r="D81" s="2" t="s">
        <v>15</v>
      </c>
      <c r="E81" s="2" t="s">
        <v>35</v>
      </c>
      <c r="F81" s="2" t="s">
        <v>17</v>
      </c>
      <c r="G81" s="2">
        <v>11</v>
      </c>
      <c r="H81" s="4">
        <v>90</v>
      </c>
      <c r="I81" s="5">
        <v>0.1</v>
      </c>
      <c r="J81" s="4">
        <f t="shared" si="2"/>
        <v>891</v>
      </c>
      <c r="K81" s="4">
        <f>J81*(1-4%)</f>
        <v>855.36</v>
      </c>
    </row>
  </sheetData>
  <autoFilter ref="A1:J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Mount</cp:lastModifiedBy>
  <cp:revision>0</cp:revision>
  <dcterms:created xsi:type="dcterms:W3CDTF">2026-05-16T12:03:07Z</dcterms:created>
  <dcterms:modified xsi:type="dcterms:W3CDTF">2026-05-16T18:11:25Z</dcterms:modified>
  <dc:language>en-US</dc:language>
</cp:coreProperties>
</file>